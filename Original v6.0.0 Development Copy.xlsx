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tures" sheetId="1" r:id="rId4"/>
    <sheet state="visible" name="Team View" sheetId="2" r:id="rId5"/>
    <sheet state="visible" name="Booking Requests" sheetId="3" r:id="rId6"/>
    <sheet state="visible" name="Away Match Proposals" sheetId="4" r:id="rId7"/>
    <sheet state="visible" name="Availability" sheetId="5" r:id="rId8"/>
    <sheet state="visible" name="Teams" sheetId="6" r:id="rId9"/>
    <sheet state="visible" name="Opponent Info" sheetId="7" r:id="rId10"/>
    <sheet state="visible" name="Settings" sheetId="8" r:id="rId11"/>
    <sheet state="visible" name="Form responses 1" sheetId="9" r:id="rId12"/>
    <sheet state="visible" name="Processing_Log" sheetId="10" r:id="rId13"/>
    <sheet state="visible" name="Event_Log" sheetId="11" r:id="rId14"/>
  </sheets>
  <definedNames>
    <definedName hidden="1" localSheetId="6" name="_xlnm._FilterDatabase">'Opponent Info'!$A$1:$H$35</definedName>
    <definedName hidden="1" localSheetId="0" name="Z_668C3012_8E08_4BBA_BD45_BE7F20E90927_.wvu.FilterData">Fixtures!$A$13:$S$189</definedName>
    <definedName hidden="1" localSheetId="6" name="Z_668C3012_8E08_4BBA_BD45_BE7F20E90927_.wvu.FilterData">'Opponent Info'!$A$1:$H$35</definedName>
    <definedName hidden="1" localSheetId="0" name="Z_64396070_B6FB_4955_8135_633CE2F14094_.wvu.FilterData">Fixtures!$A$13:$S$189</definedName>
    <definedName hidden="1" localSheetId="6" name="Z_DCFDBBDB_736E_40B7_A65E_4C5C6DB049AA_.wvu.FilterData">'Opponent Info'!$A$1:$H$35</definedName>
  </definedNames>
  <calcPr/>
  <customWorkbookViews>
    <customWorkbookView activeSheetId="0" maximized="1" windowHeight="0" windowWidth="0" guid="{64396070-B6FB-4955-8135-633CE2F14094}" name="Michael"/>
    <customWorkbookView activeSheetId="0" maximized="1" windowHeight="0" windowWidth="0" guid="{668C3012-8E08-4BBA-BD45-BE7F20E90927}" name="Dexter"/>
    <customWorkbookView activeSheetId="0" maximized="1" windowHeight="0" windowWidth="0" guid="{DCFDBBDB-736E-40B7-A65E-4C5C6DB049AA}" name="Micheal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emails must be separated by "comma" and no space anywhere</t>
      </text>
    </comment>
  </commentList>
</comments>
</file>

<file path=xl/sharedStrings.xml><?xml version="1.0" encoding="utf-8"?>
<sst xmlns="http://schemas.openxmlformats.org/spreadsheetml/2006/main" count="6880" uniqueCount="584">
  <si>
    <t>Dublin &amp; District Leagues &amp; Cups</t>
  </si>
  <si>
    <t>CLUB FIXTURES CALENDAR 2025 / 2026 SEASON</t>
  </si>
  <si>
    <t>Club Name :</t>
  </si>
  <si>
    <t>Mount Pleasant</t>
  </si>
  <si>
    <t>Web App</t>
  </si>
  <si>
    <t>Name</t>
  </si>
  <si>
    <t>Phone Number</t>
  </si>
  <si>
    <t>Number of Teams:</t>
  </si>
  <si>
    <t>Mixed :</t>
  </si>
  <si>
    <t>Ladies :</t>
  </si>
  <si>
    <t>Mens :</t>
  </si>
  <si>
    <t xml:space="preserve">Match Sec : </t>
  </si>
  <si>
    <t>Michael Haynes</t>
  </si>
  <si>
    <t>0871496638</t>
  </si>
  <si>
    <t>Date / Time</t>
  </si>
  <si>
    <t>Event Details</t>
  </si>
  <si>
    <t>Match Details</t>
  </si>
  <si>
    <t>Helper Captains View</t>
  </si>
  <si>
    <t>No</t>
  </si>
  <si>
    <t>Date</t>
  </si>
  <si>
    <t>Day</t>
  </si>
  <si>
    <t>Time</t>
  </si>
  <si>
    <t>Event</t>
  </si>
  <si>
    <t>Div</t>
  </si>
  <si>
    <t>Sctn</t>
  </si>
  <si>
    <t>League / Cup</t>
  </si>
  <si>
    <t>Your Club</t>
  </si>
  <si>
    <t>Team No.</t>
  </si>
  <si>
    <t>v</t>
  </si>
  <si>
    <t>Home / Away</t>
  </si>
  <si>
    <t>Opposition Club</t>
  </si>
  <si>
    <t>Opp Team No.</t>
  </si>
  <si>
    <t>Venue / Hall</t>
  </si>
  <si>
    <t>Match Status</t>
  </si>
  <si>
    <t>Ladies</t>
  </si>
  <si>
    <t>1</t>
  </si>
  <si>
    <t>League</t>
  </si>
  <si>
    <t>L1</t>
  </si>
  <si>
    <t>Home</t>
  </si>
  <si>
    <t>Ailesbury</t>
  </si>
  <si>
    <t>Confirmed</t>
  </si>
  <si>
    <t>Yes</t>
  </si>
  <si>
    <t>Away</t>
  </si>
  <si>
    <t xml:space="preserve">Kilnamanagh Rec. Centre D24 </t>
  </si>
  <si>
    <t>No Need</t>
  </si>
  <si>
    <t>LadiesL1HomeMount Pleasant</t>
  </si>
  <si>
    <t>L2</t>
  </si>
  <si>
    <t>Completed</t>
  </si>
  <si>
    <t>MP L1 v Mount Pleasant L2</t>
  </si>
  <si>
    <t>LadiesL1AwayMount Pleasant</t>
  </si>
  <si>
    <t>New Dawn</t>
  </si>
  <si>
    <t>Terenure Badminton Centre</t>
  </si>
  <si>
    <t>Pembroke</t>
  </si>
  <si>
    <t>2</t>
  </si>
  <si>
    <t>L3</t>
  </si>
  <si>
    <t>KADCA</t>
  </si>
  <si>
    <t>Baldoyle Badminton Centre</t>
  </si>
  <si>
    <t>Old School</t>
  </si>
  <si>
    <t>Laochra</t>
  </si>
  <si>
    <t>Carlow LTC</t>
  </si>
  <si>
    <t>3</t>
  </si>
  <si>
    <t>L4</t>
  </si>
  <si>
    <t>ESB</t>
  </si>
  <si>
    <t>Marian College</t>
  </si>
  <si>
    <t>Navan</t>
  </si>
  <si>
    <t>PSLC</t>
  </si>
  <si>
    <t>Portmarnock Sports and Leisure Centre</t>
  </si>
  <si>
    <t>U.C.D.</t>
  </si>
  <si>
    <t>UCD Sports Hall</t>
  </si>
  <si>
    <t>4</t>
  </si>
  <si>
    <t>L5</t>
  </si>
  <si>
    <t>Hotshots</t>
  </si>
  <si>
    <t>Tolka Rovers Sports Complex</t>
  </si>
  <si>
    <t>South Dublin</t>
  </si>
  <si>
    <t>St. Brigids</t>
  </si>
  <si>
    <t>Rathdown School</t>
  </si>
  <si>
    <t>Swords BC</t>
  </si>
  <si>
    <t>Liam Rodgers Community center  K67 A0Y1</t>
  </si>
  <si>
    <t>Mens</t>
  </si>
  <si>
    <t>M1</t>
  </si>
  <si>
    <t>M2</t>
  </si>
  <si>
    <t>M3</t>
  </si>
  <si>
    <t>Kildalkey</t>
  </si>
  <si>
    <t>Mount Pleasant - D06 WV34</t>
  </si>
  <si>
    <t>Kildalkey - C15 HD96</t>
  </si>
  <si>
    <t>Mullingar</t>
  </si>
  <si>
    <t>St. Tiernan's Comm. School</t>
  </si>
  <si>
    <t>M4</t>
  </si>
  <si>
    <t>Viking</t>
  </si>
  <si>
    <t>M5</t>
  </si>
  <si>
    <t>Portlaoise</t>
  </si>
  <si>
    <t>M6</t>
  </si>
  <si>
    <t>Fairplay</t>
  </si>
  <si>
    <t>St. Vincent Primary School, Glasnevin, Dublin 11</t>
  </si>
  <si>
    <t>Leixlip Phoenix</t>
  </si>
  <si>
    <t>M7</t>
  </si>
  <si>
    <t>Rathmore</t>
  </si>
  <si>
    <t>Rathmore community hall</t>
  </si>
  <si>
    <t>Smash</t>
  </si>
  <si>
    <t>Kings hospital school, lucan</t>
  </si>
  <si>
    <t>M8</t>
  </si>
  <si>
    <t>Kilcullen</t>
  </si>
  <si>
    <t>Kilcullen Community Centre</t>
  </si>
  <si>
    <t>M9</t>
  </si>
  <si>
    <t>Baltinglass</t>
  </si>
  <si>
    <t>Kerala</t>
  </si>
  <si>
    <t>Meakstown Commumity centre D11</t>
  </si>
  <si>
    <t>Mixed</t>
  </si>
  <si>
    <t>X1</t>
  </si>
  <si>
    <t>MixedX1HomeMount Pleasant</t>
  </si>
  <si>
    <t>X3</t>
  </si>
  <si>
    <t>Not confirmed</t>
  </si>
  <si>
    <t>MP X1 v Mount Pleasant X3</t>
  </si>
  <si>
    <t>X2</t>
  </si>
  <si>
    <t>Portarlington</t>
  </si>
  <si>
    <t>Trinity College</t>
  </si>
  <si>
    <t>Trinity Sports Centre</t>
  </si>
  <si>
    <t>MixedX3AwayMount Pleasant</t>
  </si>
  <si>
    <t>MP X3 v Mount Pleasant X1</t>
  </si>
  <si>
    <t>X4</t>
  </si>
  <si>
    <t>X5</t>
  </si>
  <si>
    <t>Roundwood</t>
  </si>
  <si>
    <t>An Togher (A98 V2W5)</t>
  </si>
  <si>
    <t>X6</t>
  </si>
  <si>
    <t>X7</t>
  </si>
  <si>
    <t>Boyne</t>
  </si>
  <si>
    <t>St. Mary's Diocesan School</t>
  </si>
  <si>
    <t>X8</t>
  </si>
  <si>
    <t>Cabra parkside community sports centre Dublin 7</t>
  </si>
  <si>
    <t>Jan 8-10 2026</t>
  </si>
  <si>
    <t>Semi</t>
  </si>
  <si>
    <t>Cup</t>
  </si>
  <si>
    <t>Winner of Ailesbury L1 / New Dawn L1\</t>
  </si>
  <si>
    <t>Terenure or Baldoyle</t>
  </si>
  <si>
    <t>Quarter</t>
  </si>
  <si>
    <t>16th</t>
  </si>
  <si>
    <t>Baldoyle District</t>
  </si>
  <si>
    <t>Baldoyle Club</t>
  </si>
  <si>
    <t>1st</t>
  </si>
  <si>
    <t>Blackrock United</t>
  </si>
  <si>
    <t>St Andrew's Presbyterian Church
Blackrock A94 P309</t>
  </si>
  <si>
    <t>ACBC</t>
  </si>
  <si>
    <t>Sheriff</t>
  </si>
  <si>
    <t>D01 W897</t>
  </si>
  <si>
    <t>TBD</t>
  </si>
  <si>
    <t>By Dec 18th</t>
  </si>
  <si>
    <t>Vikings</t>
  </si>
  <si>
    <t>Select Team →</t>
  </si>
  <si>
    <t># Players Unavailable</t>
  </si>
  <si>
    <t>Availability %</t>
  </si>
  <si>
    <t>Visual Indicator</t>
  </si>
  <si>
    <t>Team Members Unavailable</t>
  </si>
  <si>
    <t>Team Members on Match</t>
  </si>
  <si>
    <t>Team Members on Rest</t>
  </si>
  <si>
    <t>Timestamp</t>
  </si>
  <si>
    <t>Requesting Club</t>
  </si>
  <si>
    <t>Their Team</t>
  </si>
  <si>
    <t>Your Team</t>
  </si>
  <si>
    <t>Proposed Date</t>
  </si>
  <si>
    <t>Proposed Time</t>
  </si>
  <si>
    <t>Contact Email</t>
  </si>
  <si>
    <t>Match Type</t>
  </si>
  <si>
    <t>Status</t>
  </si>
  <si>
    <t>Opponent Club</t>
  </si>
  <si>
    <t>Our Team</t>
  </si>
  <si>
    <t>Venue</t>
  </si>
  <si>
    <t>ADMIN_LOCK</t>
  </si>
  <si>
    <t>Leonie Ward</t>
  </si>
  <si>
    <t>Sorcha Flynn</t>
  </si>
  <si>
    <t>Neasa Flynn</t>
  </si>
  <si>
    <t>Roisin McKenna</t>
  </si>
  <si>
    <t>Grace Webster</t>
  </si>
  <si>
    <t>Ashleigh Coyne</t>
  </si>
  <si>
    <t>Crona Rooney</t>
  </si>
  <si>
    <t>Anastasiia Shyrokovska</t>
  </si>
  <si>
    <t>Robbie Frost</t>
  </si>
  <si>
    <t>Senan O’Rourke</t>
  </si>
  <si>
    <t>Fionn Dowling</t>
  </si>
  <si>
    <t>Mark Cobbe</t>
  </si>
  <si>
    <t>Fergal Hannon</t>
  </si>
  <si>
    <t>Will Lacey</t>
  </si>
  <si>
    <t>Soon Wei Er (Terrance)</t>
  </si>
  <si>
    <t>Andrew Hassett</t>
  </si>
  <si>
    <t>Nejc Ceplak</t>
  </si>
  <si>
    <t>Kate Frost</t>
  </si>
  <si>
    <t>Owen Marron</t>
  </si>
  <si>
    <t>Jonathan Ruddy</t>
  </si>
  <si>
    <t>Yen Tong Yip</t>
  </si>
  <si>
    <t>Shraddah Gatt</t>
  </si>
  <si>
    <t>Maeve Twomey</t>
  </si>
  <si>
    <t>Chloe Quijano</t>
  </si>
  <si>
    <t>Stephen Lee</t>
  </si>
  <si>
    <t>Kho Young Ooi</t>
  </si>
  <si>
    <t>Craig McCourtney</t>
  </si>
  <si>
    <t>Gerry Yang</t>
  </si>
  <si>
    <t>Leo Chan</t>
  </si>
  <si>
    <t>Adnan Khan</t>
  </si>
  <si>
    <t>Cédric Roilgen</t>
  </si>
  <si>
    <t>Kee Shan Chung</t>
  </si>
  <si>
    <t>Andrew Toh</t>
  </si>
  <si>
    <t>Marcus Pippet</t>
  </si>
  <si>
    <t>Jack Lawlor</t>
  </si>
  <si>
    <t>Karthik Venkatesh Nagaraj</t>
  </si>
  <si>
    <t>Zach Parkinson</t>
  </si>
  <si>
    <t>Jing Er Low</t>
  </si>
  <si>
    <t>Aaron Chen</t>
  </si>
  <si>
    <t>Jason Huang</t>
  </si>
  <si>
    <t>Alicia (Qianling) Pu</t>
  </si>
  <si>
    <t>Lilac Ferraro</t>
  </si>
  <si>
    <t>Rizalynne Idos</t>
  </si>
  <si>
    <t>Abhinav Chaturvedi</t>
  </si>
  <si>
    <t>Sreeraj Sreekumar</t>
  </si>
  <si>
    <t>Shashank Bhandari</t>
  </si>
  <si>
    <t>Kartik Thomas</t>
  </si>
  <si>
    <t>Devansh Singh</t>
  </si>
  <si>
    <t>Shilei Liu</t>
  </si>
  <si>
    <t>Stephen Duffy</t>
  </si>
  <si>
    <t>Zoheb Khan</t>
  </si>
  <si>
    <t>Jude Denofra</t>
  </si>
  <si>
    <t>Ram Chander Sharma</t>
  </si>
  <si>
    <t>Omkar Porje</t>
  </si>
  <si>
    <t>Cillian Dowling</t>
  </si>
  <si>
    <t>Hien Nguyen</t>
  </si>
  <si>
    <t>Ketki Chauhan</t>
  </si>
  <si>
    <t>Narueporn Phongsiri</t>
  </si>
  <si>
    <t>Khanittha Khamchanwong</t>
  </si>
  <si>
    <t>Dexter Whelan</t>
  </si>
  <si>
    <t>Benjamin Hemery</t>
  </si>
  <si>
    <t>Jean Villard</t>
  </si>
  <si>
    <t>Ranganath Surya Varadarajan</t>
  </si>
  <si>
    <t>Emma Binions</t>
  </si>
  <si>
    <t>Muireann Chieng</t>
  </si>
  <si>
    <t>U</t>
  </si>
  <si>
    <t>R</t>
  </si>
  <si>
    <t>X</t>
  </si>
  <si>
    <t>CLOSED</t>
  </si>
  <si>
    <t>Division</t>
  </si>
  <si>
    <t>Team</t>
  </si>
  <si>
    <t>Allowed Blocked Days</t>
  </si>
  <si>
    <t>Captain</t>
  </si>
  <si>
    <t>Player 1</t>
  </si>
  <si>
    <t>Player 2</t>
  </si>
  <si>
    <t>Player 3</t>
  </si>
  <si>
    <t>Player 4</t>
  </si>
  <si>
    <t>Leo chan</t>
  </si>
  <si>
    <t>Club</t>
  </si>
  <si>
    <t>League Matches</t>
  </si>
  <si>
    <t>Cup Matches</t>
  </si>
  <si>
    <t>Total</t>
  </si>
  <si>
    <t>Match Secretary Name</t>
  </si>
  <si>
    <t>Match Secretary Email</t>
  </si>
  <si>
    <t>Match Secretary Phone</t>
  </si>
  <si>
    <t>Notes</t>
  </si>
  <si>
    <t>Finn O'Conor</t>
  </si>
  <si>
    <t>finn.finnoconnor@gmail.com</t>
  </si>
  <si>
    <t>085 185 0502</t>
  </si>
  <si>
    <t>Elaine Horgan</t>
  </si>
  <si>
    <t>elainehorgan@gmail.com</t>
  </si>
  <si>
    <t>087 954 9466</t>
  </si>
  <si>
    <t>Kevin Brodigan</t>
  </si>
  <si>
    <t>kbrodigan@gmail.com</t>
  </si>
  <si>
    <t>083 392 4424</t>
  </si>
  <si>
    <t>Martin O'Hanlon</t>
  </si>
  <si>
    <t>mm.o'hanlon@hotmail.com</t>
  </si>
  <si>
    <t>087 945 2694</t>
  </si>
  <si>
    <t>Ellen Gifney</t>
  </si>
  <si>
    <t>southdublinmatches@gmail.com</t>
  </si>
  <si>
    <t>085 729 3778</t>
  </si>
  <si>
    <t>Eamonn Flynn</t>
  </si>
  <si>
    <t>eamonnflynn277@hotmail.com</t>
  </si>
  <si>
    <t>086 367 8794</t>
  </si>
  <si>
    <t>Michael Haynes / Dexter Whelan</t>
  </si>
  <si>
    <t>badminton@mountpleasantitc.ie</t>
  </si>
  <si>
    <t>087 149 6638 (Michael) / 085 722 6881 (Dexter)</t>
  </si>
  <si>
    <t>Arek Kondek</t>
  </si>
  <si>
    <t>vikingmatchsecretary@gmail.com,Arek.exo@gmail.com</t>
  </si>
  <si>
    <t>083 849 0016</t>
  </si>
  <si>
    <t>Ralph Allen / Romeo Anupol</t>
  </si>
  <si>
    <t>hotshotbc.2023@gmail.com</t>
  </si>
  <si>
    <t>087 189 7000 (Ralph), 083 882 0744 (Romeo)</t>
  </si>
  <si>
    <t>David Keating</t>
  </si>
  <si>
    <t>newdawnbc7@gmail.com</t>
  </si>
  <si>
    <t>089 612 0914</t>
  </si>
  <si>
    <t>Praveen Thokala</t>
  </si>
  <si>
    <t>praveenthokala83@gmail.com</t>
  </si>
  <si>
    <t>085 850 4209</t>
  </si>
  <si>
    <t>Marie Boyle</t>
  </si>
  <si>
    <t>marietcboyle@gmail.com</t>
  </si>
  <si>
    <t>086 823 2807</t>
  </si>
  <si>
    <t>Ashay Panse / Ker Xin Chong</t>
  </si>
  <si>
    <t>pansea@tcd.ie,chongke@tcd.le</t>
  </si>
  <si>
    <t>087 291 6451 (Ashay) / 087 333 3299 (Ker)</t>
  </si>
  <si>
    <t>Mia Nguyen</t>
  </si>
  <si>
    <t>miafairplaybc@gmail.com</t>
  </si>
  <si>
    <t>089 467 2222</t>
  </si>
  <si>
    <t>Siobhan Haverty and Catherine Prior</t>
  </si>
  <si>
    <t>shaverty17@gmail.com,farrarcatherine@yahoo.co.uk</t>
  </si>
  <si>
    <t>085 865 2805 (Siobhan) / 087 948 4126 (Catherine)</t>
  </si>
  <si>
    <t>Sorcha McManigan (L&amp;M Dbls), Pat Nolan (Mens)</t>
  </si>
  <si>
    <t>matchsecretary@stbrigids.com</t>
  </si>
  <si>
    <t>Sochra: 083 856 0509 / Pat: 086 851 7616</t>
  </si>
  <si>
    <t>Sven Goelff</t>
  </si>
  <si>
    <t>ucdmatchsec@gmail.com</t>
  </si>
  <si>
    <t>352 661 880 078</t>
  </si>
  <si>
    <t>Sean Breen</t>
  </si>
  <si>
    <t>sbreen@sbreen.com</t>
  </si>
  <si>
    <t>086 221 1585</t>
  </si>
  <si>
    <t>Cathal Whelan</t>
  </si>
  <si>
    <t>Icoe1990@gmail.com</t>
  </si>
  <si>
    <t>086 379 5650</t>
  </si>
  <si>
    <t>Caroline Kelly / Jim Whyte</t>
  </si>
  <si>
    <t>caroline_kelly2@yahoo.ie,whyte.jim@gmail.com</t>
  </si>
  <si>
    <t>085 720 6051</t>
  </si>
  <si>
    <t>John McGrane</t>
  </si>
  <si>
    <t>john.mcgrane1@gmail.com</t>
  </si>
  <si>
    <t>083 100 5010</t>
  </si>
  <si>
    <t>Nandar Rustam &amp; Florian Bernicat</t>
  </si>
  <si>
    <t>esbbc.secretary@gmail.com</t>
  </si>
  <si>
    <t>083 086 7160 (Nandar) / 083 843 8734 (Florian)</t>
  </si>
  <si>
    <t>Thomas Kurian</t>
  </si>
  <si>
    <t>thomaskurian.p@gmail.com</t>
  </si>
  <si>
    <t>087 125 4103</t>
  </si>
  <si>
    <t>Jess Ryan</t>
  </si>
  <si>
    <t>kbcmatchsecretary@gmail.com</t>
  </si>
  <si>
    <t>085 245 3074</t>
  </si>
  <si>
    <t>Walter Rountree</t>
  </si>
  <si>
    <t>walter.rountree@live.ie</t>
  </si>
  <si>
    <t>087 957 9870</t>
  </si>
  <si>
    <t>Catherine Kealy</t>
  </si>
  <si>
    <t>catherinedolphin@hotmail.com</t>
  </si>
  <si>
    <t>087 994 5754</t>
  </si>
  <si>
    <t>Eddie Cahill</t>
  </si>
  <si>
    <t>eddiecahill.ec@gmail.com</t>
  </si>
  <si>
    <t>085 162 3366</t>
  </si>
  <si>
    <t>Shauna Fenner</t>
  </si>
  <si>
    <t>rathmorebcsecretary@gmail.com</t>
  </si>
  <si>
    <t>087 254 7570 / 08 132 5886</t>
  </si>
  <si>
    <t>Dinesh Thomas</t>
  </si>
  <si>
    <t>thomasdinu782@gmail.com</t>
  </si>
  <si>
    <t>086 223 0686</t>
  </si>
  <si>
    <t>lain Coulter</t>
  </si>
  <si>
    <t>swordsmatchsecretary@gmail.com</t>
  </si>
  <si>
    <t>086 154 0926</t>
  </si>
  <si>
    <t>Ilyas Hussain</t>
  </si>
  <si>
    <t>connect.acbclub@gmail.com</t>
  </si>
  <si>
    <t>089 490 0730</t>
  </si>
  <si>
    <t>Derek Cray</t>
  </si>
  <si>
    <t>derek.cray@gmail.com</t>
  </si>
  <si>
    <t>086 381 1068</t>
  </si>
  <si>
    <t>Askhit Sharma</t>
  </si>
  <si>
    <t>aku9669@gmail.com</t>
  </si>
  <si>
    <t>089 484 2223</t>
  </si>
  <si>
    <t>Yvette Ebbs</t>
  </si>
  <si>
    <t>yvetteebbs@gmail.com</t>
  </si>
  <si>
    <t>086 811 1982</t>
  </si>
  <si>
    <t>Setting Name</t>
  </si>
  <si>
    <t>Setting Value</t>
  </si>
  <si>
    <t>Club Name</t>
  </si>
  <si>
    <t>badminton@mountpleasantltc.ie</t>
  </si>
  <si>
    <t>Enable Away Booking</t>
  </si>
  <si>
    <t>Web App URL</t>
  </si>
  <si>
    <t>https://script.google.com/macros/s/AKfycbwKtd-yNnR-TV7fcUYUemU6zFU-AFMreZZ-POu7suQ_Vkf3RnS0sluZ5li9eQ2thKezMQ/exec</t>
  </si>
  <si>
    <t>Team Buffer Days (each side)</t>
  </si>
  <si>
    <t>Blocked Weekdays (0=Sun, 6=Sat)</t>
  </si>
  <si>
    <t>3,5</t>
  </si>
  <si>
    <t>Day 0 (Sun) Max Matches</t>
  </si>
  <si>
    <t>Day 0 (Sun) Time Slot</t>
  </si>
  <si>
    <t>18:00, 19:00, 20:00</t>
  </si>
  <si>
    <t>Day 0 (Sun) Venue</t>
  </si>
  <si>
    <t>Day 1 (Mon) Max Matches</t>
  </si>
  <si>
    <t>Day 1 (Mon) Time Slot</t>
  </si>
  <si>
    <t>19:00, 21:00</t>
  </si>
  <si>
    <t>Day 1 (Mon) Venue</t>
  </si>
  <si>
    <t>Day 2 (Tue) Max Matches</t>
  </si>
  <si>
    <t>Day 2 (Tue) Time Slot</t>
  </si>
  <si>
    <t>Day 2 (Tue) Venue</t>
  </si>
  <si>
    <t>Day 3 (Wed) Max Matches</t>
  </si>
  <si>
    <t>Day 3 (Wed) Time Slot</t>
  </si>
  <si>
    <t>Day 3 (Wed) Venue</t>
  </si>
  <si>
    <t>Day 4 (Thu) Max Matches</t>
  </si>
  <si>
    <t>Day 4 (Thu) Time Slot</t>
  </si>
  <si>
    <t>Day 4 (Thu) Venue</t>
  </si>
  <si>
    <t>Day 5 (Fri) Max Matches</t>
  </si>
  <si>
    <t>Day 5 (Fri) Time Slot</t>
  </si>
  <si>
    <t>Day 5 (Fri) Venue</t>
  </si>
  <si>
    <t>Day 6 (Sat) Max Matches</t>
  </si>
  <si>
    <t>Day 6 (Sat) Time Slot</t>
  </si>
  <si>
    <t>Day 6 (Sat) Venue</t>
  </si>
  <si>
    <t>Test Mode Email</t>
  </si>
  <si>
    <t>ptinc.rh@gmail.com</t>
  </si>
  <si>
    <t>Test Mode Active</t>
  </si>
  <si>
    <t>Player Name</t>
  </si>
  <si>
    <t>Unavailable Dates</t>
  </si>
  <si>
    <t>22/01/2026 - 30/01/2026</t>
  </si>
  <si>
    <t>Processed</t>
  </si>
  <si>
    <t>31/10/2025 - 2/11/2025, 25/11/2025 - 26/11/2025, 13/12/2025 - 18/12/2025, 30/12/2025 - 1/1/2026</t>
  </si>
  <si>
    <t>31/10/2025 - 02/11/2025, 09/11/2025, 24/11/2025 - 27/11/2025, 03/01/2026, 08/01/2026, 14/02/2026 - 15/02/2026, 15/03/2026, 31/03/2026</t>
  </si>
  <si>
    <t>Every Monday, 
12/11/2025 - 16/11/2025, 05/03/2026 - 08/03/2026,  
25/11/2025, 27/11/2025</t>
  </si>
  <si>
    <t>14/11/2025, 21/11/2025, 29/11/2025, 05/12/2025, 23/01/2026, 27/03/2026, 30/01/2026 - 06/02/2026</t>
  </si>
  <si>
    <t>04/11/2025 - 06/11/2025
19/11/2025, 25/11/2025
01/12/2025 - 04/12/2025
11/12/2025, 17/12/2025, 19/12/2025, 29/12/2025</t>
  </si>
  <si>
    <t>25/10/2025 - 04/11/2025, 07/11/2025, 28/11/2025, 04/12/2025, 11/12/2025, 12/12/2025, 18/12/2025, 19/12/2025, 16/01/2026, 11/03/2026 - 13/03/2026</t>
  </si>
  <si>
    <t xml:space="preserve">I am available other than any emergency </t>
  </si>
  <si>
    <t>27/11/2025, 13/03/2026, 14/03/2026, Every Saturday, Every Sunday</t>
  </si>
  <si>
    <t>21/11/2025-23/11/2025, 20/12/2025 - 4/1/2026, 6/3/2026 - 8/3/2026</t>
  </si>
  <si>
    <t>13/01/2026, 30/01/2026 - 22/02/2026</t>
  </si>
  <si>
    <t>29/10/2025, 6/11/2025, 11/11/2025, 18/11/2025, 28/11/2025, 7/12/2025, 19/12/2025 - 26/12/2025, 31/12/2025, 03/01/2026 - 04/01/2026, 01/02/2026, 14/02/2026, 20/02/2026 - 22/02/2026, 28/02/2026 - 01/03/2026, 20/03/2026 -22/03/2026</t>
  </si>
  <si>
    <t>29/10/2025, 28/11/2025 - 02/12/2025</t>
  </si>
  <si>
    <t>12/11/2025 - 16/11/2025
20/12/2025 - 15/01/2026
06/03/2026 - 22/03/2026</t>
  </si>
  <si>
    <t>07/11/2025 - 10/11/2025
14/11/2025 - 16/11/2025
05/12/2025 - 08/12/2025
06/02/2026 - 09/02/2026
06/03/2026 - 09/03/2026</t>
  </si>
  <si>
    <t>Every Saturday, Every Sunday, 25/11/25 - 14/12/25</t>
  </si>
  <si>
    <t>15/11/2025</t>
  </si>
  <si>
    <t>Every Monday, 20/12/2025 - 09/01/2026, 16/11/2025</t>
  </si>
  <si>
    <t>If we go to Thailand,  it will be in-between Cup and League finals. Probably during February and March. Nothing booked, at most it would be: 01/02/2026 to 31/03/2026.
No other dates expected during the badminton season
01/02/2026 - 31/03/2026</t>
  </si>
  <si>
    <t>No dates planned during the badminton season</t>
  </si>
  <si>
    <t>20/12/2025 - 04/01/2026, 09/02/2026 - 02/03/2026</t>
  </si>
  <si>
    <t>02/10/2025 - 20/10/2025, 28/11/2025 - 08/12/2025, 27/12/2025 - 04/01/2026, 26/02/2026 - 01/03/2026</t>
  </si>
  <si>
    <t>12/12/2025 - 28/02/2026</t>
  </si>
  <si>
    <t>Every Monday, 20/12/2025 - 08/01/2026, 20/03/2026 - 22/03/2026</t>
  </si>
  <si>
    <t>13/12/2025 - 04/01/2026</t>
  </si>
  <si>
    <t>24/10/2025 - 07/11/2025, 19/11/2025, 20/11/2025, 25/11/2025, 01/12/2025 - 04/12/2025, 11/12/2025 - 14/12/2025, 17/12/2025, 18/12/2025, 19/12/2025, 29/12/2025</t>
  </si>
  <si>
    <t>16/11/2025, 22/11/2025, 30/11/2025</t>
  </si>
  <si>
    <t>30/10/2025, 05/12/2025 - 08/12/2025, 13/12/2025 - 15/12/2025, 20/12/2025 - 01/01/2026, 10/01/2026 - 13/01/2026, 06/02/2026, 11/02/2026 - 15/02/2026</t>
  </si>
  <si>
    <t>22/11/25, 19/12/25-31/12/25, 19/03/26</t>
  </si>
  <si>
    <t>21/02/2026, 14/03/2026</t>
  </si>
  <si>
    <t>25/10/2025-11/11/2025, 20/12/2025, 31/12/2025, 01/01/2026, 12/01/2026, 02/02/2026-09/02/2026, 21/02/2026, 06/03/2026-09/03/2026, 21/03/2026</t>
  </si>
  <si>
    <t>Every Saturday, Every Sunday</t>
  </si>
  <si>
    <t xml:space="preserve">Every Saturday, Every Sunday </t>
  </si>
  <si>
    <t>21/11/2025-20/12/2025, 30/01/2026-09/02/2026</t>
  </si>
  <si>
    <t>01/11/2025-02/11/2025, 08/11/2025-09/11/2025, 28/11/2025-30/11/2025, 20/12/2025, 01/01/2026-08/01/2026, 21/03/2026-22/03/2026</t>
  </si>
  <si>
    <t>19/02/2026-28/02/2026</t>
  </si>
  <si>
    <t>10/12/2025, 11/12/2025, 12/12/2025, 13/12/2025, 14/12/2025, 15/12/2025</t>
  </si>
  <si>
    <t xml:space="preserve">08/11/2025- 9/11/2025, 20/11/2025-28/11/2025, 6/12/2025, 13/12/2025, 25/12/2025- 26/12/2025, 30/12/2025- 1/1/2026, 12/1/2026- 13/1/2026, 17/1/2026-18/1/2026, 6/2/2026- 7/2/2026, 21/2/2026, 14/3/2026, </t>
  </si>
  <si>
    <t>06/03/2026-09/03/2026</t>
  </si>
  <si>
    <t>3/11/2025-10/11/2025,
26/11/2025,
9/12/2025-11/12/2025, 13/01/2026-15/01/2026,
13/02/2026,14/02/2026</t>
  </si>
  <si>
    <t>13/12/25, 4/03/26-7/03/26</t>
  </si>
  <si>
    <t>(Monday November 17th to Friday the 21st. )
(Wednesday February 25th to March 6th (leaving cert mocks))
17/11/2025 - 21/11/2025
25/02/2026 - 06/03/2026</t>
  </si>
  <si>
    <t>12/11/2025 - 16/11/2025</t>
  </si>
  <si>
    <t>22/11/2025-1/12/2025</t>
  </si>
  <si>
    <t>9/11/2025, 12/11/2025, 16/11/2025, 26/11/2025, 28/11/2025 - 7/12/2025, 10/12/2025, 19/12/2025 - 2/01/2026, 12/01/2026, 24/01/2026, 25/01/2026, 28/02/2026</t>
  </si>
  <si>
    <t>31/10/2025 - 02/11/2025, 11/11/2025 - 16/11/2025, 28/11/2025 - 30/11/2025,  19/12/2025 - 22/12/2025,  23/12/2025 - 29/12/2025,
9/01/2026 - 11/01/2026, 30/01/2026 - 01/02/2026,
20/02/2026 - 22/02/2026, 27/02/2026 - 01/03/2026</t>
  </si>
  <si>
    <t>08/11/2025 - 09/11/2025, 16/11/2025, 22/11/2025, 19/12/2025 - 27/12/2025, 10/01/2026, 23/02/2026</t>
  </si>
  <si>
    <t>06/10/2025 - 09/10/2025, 12/11/2025 - 13/11/2025, 21/11/2025 - 23/11/2025, 25/11/2025, 28/11/2025, 05/12/2025, 10/12/2025 - 12/12/2025, 02/01/2026, 14/02/2026 - 18/02/2026, 27/02/2026</t>
  </si>
  <si>
    <t xml:space="preserve">12/11/25-15/11/25, 17/11/25-19/11/25, 19/12/25-23/12/25 </t>
  </si>
  <si>
    <t>1/11/2025-15/12/2025, 30/12/2025-1/01/2026, 6/03/2026-8/03/2026, 20/03/2026-23/03/2026, Every Sunday</t>
  </si>
  <si>
    <t>Every Friday, Every Saturday, 14/03/2026 - 30/03/2026, 14/02/2026 - 24/02/2026</t>
  </si>
  <si>
    <t>22/02/2026</t>
  </si>
  <si>
    <t>04/12/2025</t>
  </si>
  <si>
    <t>06/12/2025 - 08/12/2025</t>
  </si>
  <si>
    <t>03/12/2025, 13/12/2025</t>
  </si>
  <si>
    <t>Raw Input</t>
  </si>
  <si>
    <t>Cleaned Input</t>
  </si>
  <si>
    <t>Days Marked</t>
  </si>
  <si>
    <t>Admin Lock Conflicts</t>
  </si>
  <si>
    <t>Success</t>
  </si>
  <si>
    <t>31/10/2025 - 2/11/2025
25/11/2025 - 26/11/2025
13/12/2025 - 18/12/2025
30/12/2025 - 1/1/2026</t>
  </si>
  <si>
    <t>Partial Success (Conflicts Found)</t>
  </si>
  <si>
    <t>31/10/2025 - 02/11/2025
09/11/2025
24/11/2025 - 27/11/2025
03/01/2026
08/01/2026
14/02/2026 - 15/02/2026
15/03/2026
31/03/2026</t>
  </si>
  <si>
    <t>Every Monday
12/11/2025 - 16/11/2025
05/03/2026 - 08/03/2026
25/11/2025
27/11/2025</t>
  </si>
  <si>
    <t>14/11/2025
21/11/2025
29/11/2025
05/12/2025
23/01/2026
27/03/2026
30/01/2026 - 06/02/2026</t>
  </si>
  <si>
    <t>04/11/2025 - 06/11/2025
19/11/2025
25/11/2025
01/12/2025 - 04/12/2025
11/12/2025
17/12/2025
19/12/2025
29/12/2025</t>
  </si>
  <si>
    <t>25/10/2025 - 04/11/2025
07/11/2025
28/11/2025
04/12/2025
11/12/2025
12/12/2025
18/12/2025
19/12/2025
16/01/2026
11/03/2026 - 13/03/2026</t>
  </si>
  <si>
    <t>I am available other than any emergency</t>
  </si>
  <si>
    <t>27/11/2025
13/03/2026
14/03/2026
Every Saturday
Every Sunday</t>
  </si>
  <si>
    <t>21/11/2025 - 23/11/2025
20/12/2025 - 4/1/2026
6/3/2026 - 8/3/2026</t>
  </si>
  <si>
    <t>13/01/2026
30/01/2026 - 22/02/2026</t>
  </si>
  <si>
    <t>29/10/2025
6/11/2025
11/11/2025
18/11/2025
28/11/2025
7/12/2025
19/12/2025 - 26/12/2025
31/12/2025
03/01/2026 - 04/01/2026
01/02/2026
14/02/2026
20/02/2026 - 22/02/2026
28/02/2026 - 01/03/2026
20/03/2026 - 22/03/2026</t>
  </si>
  <si>
    <t>29/10/2025
28/11/2025 - 02/12/2025</t>
  </si>
  <si>
    <t>Every Saturday
Every Sunday
25/11/25 - 14/12/25</t>
  </si>
  <si>
    <t>Every Monday
20/12/2025 - 09/01/2026
16/11/2025</t>
  </si>
  <si>
    <t>If we go to Thailand
it will be in - between Cup and League finals. Probably during February and March. Nothing booked
at most it would be: 01/02/2026 to 31/03/2026.
No other dates expected during the badminton season
01/02/2026 - 31/03/2026</t>
  </si>
  <si>
    <t>Skipped invalid date(s) in range: "it will be in-between Cup and League finals. Probably during February and March. Nothing booked"
Skipped unparsable date fragment: "at most it would be: 01/02/2026 to 31/03/2026."</t>
  </si>
  <si>
    <t>20/12/2025 - 04/01/2026
09/02/2026 - 02/03/2026</t>
  </si>
  <si>
    <t>02/10/2025 - 20/10/2025
28/11/2025 - 08/12/2025
27/12/2025 - 04/01/2026
26/02/2026 - 01/03/2026</t>
  </si>
  <si>
    <t>Skipped Out-of-Range Date: "2025-10-02"
Skipped Out-of-Range Date: "2025-10-03"
Skipped Out-of-Range Date: "2025-10-04"
Skipped Out-of-Range Date: "2025-10-05"
Skipped Out-of-Range Date: "2025-10-06"
Skipped Out-of-Range Date: "2025-10-07"
Skipped Out-of-Range Date: "2025-10-08"
Skipped Out-of-Range Date: "2025-10-09"
Skipped Out-of-Range Date: "2025-10-10"
Skipped Out-of-Range Date: "2025-10-11"
Skipped Out-of-Range Date: "2025-10-12"</t>
  </si>
  <si>
    <t>Every Monday
20/12/2025 - 08/01/2026
20/03/2026 - 22/03/2026</t>
  </si>
  <si>
    <t>24/10/2025 - 07/11/2025
19/11/2025
20/11/2025
25/11/2025
01/12/2025 - 04/12/2025
11/12/2025 - 14/12/2025
17/12/2025
18/12/2025
19/12/2025
29/12/2025</t>
  </si>
  <si>
    <t>16/11/2025
22/11/2025
30/11/2025</t>
  </si>
  <si>
    <t>30/10/2025
05/12/2025 - 08/12/2025
13/12/2025 - 15/12/2025
20/12/2025 - 01/01/2026
10/01/2026 - 13/01/2026
06/02/2026
11/02/2026 - 15/02/2026</t>
  </si>
  <si>
    <t>22/11/25
19/12/25 - 31/12/25
19/03/26</t>
  </si>
  <si>
    <t>21/02/2026
14/03/2026</t>
  </si>
  <si>
    <t>25/10/2025 - 11/11/2025
20/12/2025
31/12/2025
01/01/2026
12/01/2026
02/02/2026 - 09/02/2026
21/02/2026
06/03/2026 - 09/03/2026
21/03/2026</t>
  </si>
  <si>
    <t>Every Saturday
Every Sunday</t>
  </si>
  <si>
    <t>21/11/2025 - 20/12/2025
30/01/2026 - 09/02/2026</t>
  </si>
  <si>
    <t>01/11/2025 - 02/11/2025
08/11/2025 - 09/11/2025
28/11/2025 - 30/11/2025
20/12/2025
01/01/2026 - 08/01/2026
21/03/2026 - 22/03/2026</t>
  </si>
  <si>
    <t>19/02/2026 - 28/02/2026</t>
  </si>
  <si>
    <t>10/12/2025
11/12/2025
12/12/2025
13/12/2025
14/12/2025
15/12/2025</t>
  </si>
  <si>
    <t>08/11/2025 - 9/11/2025
20/11/2025 - 28/11/2025
6/12/2025
13/12/2025
25/12/2025 - 26/12/2025
30/12/2025 - 1/1/2026
12/1/2026 - 13/1/2026
17/1/2026 - 18/1/2026
6/2/2026 - 7/2/2026
21/2/2026
14/3/2026</t>
  </si>
  <si>
    <t>06/03/2026 - 09/03/2026</t>
  </si>
  <si>
    <t>3/11/2025 - 10/11/2025
26/11/2025
9/12/2025 - 11/12/2025
13/01/2026 - 15/01/2026
13/02/2026
14/02/2026</t>
  </si>
  <si>
    <t>13/12/25
4/03/26 - 7/03/26</t>
  </si>
  <si>
    <t>(Monday November 17th to Friday the 21st. )
(Wednesday February 25th to March 6th (leaving cert mocks))
17/11/2025 - 21/11/2025
02/25/2026 - 06/03/2026</t>
  </si>
  <si>
    <t>)
17/11/2025 - 21/11/2025
02/25/2026 - 06/03/2026</t>
  </si>
  <si>
    <t>Skipped Inverted Range: "02/25/2026 - 06/03/2026"</t>
  </si>
  <si>
    <t>22/11/2025 - 1/12/2025</t>
  </si>
  <si>
    <t>9/11/2025
12/11/2025
16/11/2025
26/11/2025
28/11/2025 - 7/12/2025
10/12/2025
19/12/2025 - 2/01/2026
12/01/2026
24/01/2026
25/01/2026
28/02/2026</t>
  </si>
  <si>
    <t>31/10/2025 - 02/11/2025
11/11/2025 - 16/11/2025
28/11/2025 - 30/11/2025
19/12/2025 - 22/12/2025
23/12/2025 - 29/12/2025
9/01/2026 - 11/01/2026
30/01/2026 - 01/02/2026
20/02/2026 - 22/02/2026
27/02/2026 - 01/03/2026</t>
  </si>
  <si>
    <t>08/11/2025 - 09/11/2025
16/11/2025
22/11/2025
19/12/2025 - 27/12/2025
10/01/2026
23/02/2026</t>
  </si>
  <si>
    <t>06/10/2025 - 09/10/2025
12/11/2025 - 13/11/2025
21/11/2025 - 23/11/2025
25/11/2025
28/11/2025
05/12/2025
10/12/2025 - 12/12/2025
02/01/2026
14/02/2026 - 18/02/2026
27/02/2026</t>
  </si>
  <si>
    <t>Skipped Out-of-Range Date: "2025-10-06"
Skipped Out-of-Range Date: "2025-10-07"
Skipped Out-of-Range Date: "2025-10-08"
Skipped Out-of-Range Date: "2025-10-09"</t>
  </si>
  <si>
    <t>12/11/25 - 15/11/25
17/11/25 - 19/11/25
19/12/25 - 23/12/25</t>
  </si>
  <si>
    <t>1/11/2025 - 15/12/2025
30/12/2025 - 1/01/2026
6/03/2026 - 8/03/2026
20/03/2026 - 23/03/2026
Every Sunday</t>
  </si>
  <si>
    <t>Every Friday
Every Saturday
14/03/2026 - 30/03/2026
14/02/2026 - 24/02/2026</t>
  </si>
  <si>
    <t>03/12/2025
13/12/2025</t>
  </si>
  <si>
    <t>)
17/11/2025 - 21/11/2025
25/02/2026 - 06/03/2026</t>
  </si>
  <si>
    <t>Conflict (U vs X)</t>
  </si>
  <si>
    <t>Date: 2026-02-22</t>
  </si>
  <si>
    <t>Conflict Detected</t>
  </si>
  <si>
    <t>Player 'Leonie Ward' is marked 'U' but is required for match vs New Dawn L1 on 2026-02-22.</t>
  </si>
  <si>
    <t>Player 'Sorcha Flynn' is marked 'U' but is required for match vs New Dawn L1 on 2026-02-22.</t>
  </si>
  <si>
    <t>Player 'Neasa Flynn' is marked 'U' but is required for match vs New Dawn L1 on 2026-02-22.</t>
  </si>
  <si>
    <t>Player 'Roisin McKenna' is marked 'U' but is required for match vs New Dawn L1 on 2026-02-22.</t>
  </si>
  <si>
    <t>Date: 2025-12-02</t>
  </si>
  <si>
    <t>Player 'Jing Er Low' is marked 'U' but is required for match vs ESB L1 on 2025-12-02.</t>
  </si>
  <si>
    <t>Date: 2026-03-06</t>
  </si>
  <si>
    <t>Player 'Alicia (Qianling) Pu' is marked 'U' but is required for match vs U.C.D. L1 on 2026-03-06.</t>
  </si>
  <si>
    <t>Player 'Lilac Ferraro' is marked 'U' but is required for match vs U.C.D. L1 on 2026-03-06.</t>
  </si>
  <si>
    <t>Date: 2025-11-18</t>
  </si>
  <si>
    <t>Player 'Rizalynne Idos' is marked 'U' but is required for match vs U.C.D. L1 on 2025-11-18.</t>
  </si>
  <si>
    <t>Date: 2025-11-29</t>
  </si>
  <si>
    <t>Player 'Ketki Chauhan' is marked 'U' but is required for match vs Hotshots L1 on 2025-11-29.</t>
  </si>
  <si>
    <t>Date: 2025-11-25</t>
  </si>
  <si>
    <t>Player 'Ketki Chauhan' is marked 'U' but is required for match vs South Dublin L3 on 2025-11-25.</t>
  </si>
  <si>
    <t>Date: 2026-03-03</t>
  </si>
  <si>
    <t>Player 'Khanittha Khamchanwong' is marked 'U' but is required for match vs St. Brigids L1 on 2026-03-03.</t>
  </si>
  <si>
    <t>Date: 2026-02-26</t>
  </si>
  <si>
    <t>Player 'Khanittha Khamchanwong' is marked 'U' but is required for match vs Swords BC L1 on 2026-02-26.</t>
  </si>
  <si>
    <t>Date: 2025-11-13</t>
  </si>
  <si>
    <t>Player 'Robbie Frost' is marked 'U' but is required for match vs KADCA M2 on 2025-11-13.</t>
  </si>
  <si>
    <t>Date: 2026-02-20</t>
  </si>
  <si>
    <t>Player 'Fergal Hannon' is marked 'U' but is required for match vs Laochra M1 on 2026-02-20.</t>
  </si>
  <si>
    <t>Date: 2026-02-06</t>
  </si>
  <si>
    <t>Player 'Fergal Hannon' is marked 'U' but is required for match vs South Dublin M1 on 2026-02-06.</t>
  </si>
  <si>
    <t>Date: 2026-01-07</t>
  </si>
  <si>
    <t>Player 'Kho Young Ooi' is marked 'U' but is required for match vs Kildalkey M1 on 2026-01-07.</t>
  </si>
  <si>
    <t>Player 'Gerry Yang' is marked 'U' but is required for match vs Kildalkey M1 on 2026-01-07.</t>
  </si>
  <si>
    <t>Date: 2025-12-16</t>
  </si>
  <si>
    <t>Player 'Kho Young Ooi' is marked 'U' but is required for match vs Mullingar M1 on 2025-12-16.</t>
  </si>
  <si>
    <t>Date: 2026-02-08</t>
  </si>
  <si>
    <t>Player 'Kho Young Ooi' is marked 'U' but is required for match vs Pembroke M2 on 2026-02-08.</t>
  </si>
  <si>
    <t>Date: 2025-12-04</t>
  </si>
  <si>
    <t>Player 'Craig McCourtney' is marked 'U' but is required for match vs South Dublin M2 on 2025-12-04.</t>
  </si>
  <si>
    <t>Date: 2025-12-13</t>
  </si>
  <si>
    <t>Player 'Leo chan' is marked 'U' but is required for match vs Viking M1 on 2025-12-13.</t>
  </si>
  <si>
    <t>Player 'Devansh Singh' is marked 'U' but is required for match vs Hotshots M1 on 2025-11-29.</t>
  </si>
  <si>
    <t>Date: 2025-11-21</t>
  </si>
  <si>
    <t>Player 'Devansh Singh' is marked 'U' but is required for match vs Smash M1 on 2025-11-21.</t>
  </si>
  <si>
    <t>Date: 2025-12-10</t>
  </si>
  <si>
    <t>Player 'Devansh Singh' is marked 'U' but is required for match vs Smash M1 on 2025-12-10.</t>
  </si>
  <si>
    <t>Date: 2026-01-24</t>
  </si>
  <si>
    <t>Player 'Dexter Whelan' is marked 'U' but is required for match vs Viking M3 on 2026-01-24.</t>
  </si>
  <si>
    <t>Date: 2025-12-01</t>
  </si>
  <si>
    <t>Player 'Crona Rooney' is marked 'U' but is required for match vs Pembroke X1 on 2025-12-01.</t>
  </si>
  <si>
    <t>Date: 2026-03-05</t>
  </si>
  <si>
    <t>Player 'Fionn Dowling' is marked 'U' but is required for match vs Pembroke X1 on 2026-03-05.</t>
  </si>
  <si>
    <t>Date: 2026-02-03</t>
  </si>
  <si>
    <t>Player 'Hien Nguyen' is marked 'U' but is required for match vs Boyne X1 on 2026-02-03.</t>
  </si>
  <si>
    <t>Date: 2026-01-30</t>
  </si>
  <si>
    <t>Player 'Hien Nguyen' is marked 'U' but is required for match vs Hotshots X1 on 2026-01-30.</t>
  </si>
  <si>
    <t>Date: 2026-03-18</t>
  </si>
  <si>
    <t>Player 'Lilac Ferraro' is marked 'U' but is required for match vs Hotshots X1 on 2026-03-18.</t>
  </si>
  <si>
    <t>Player 'Lilac Ferraro' is marked 'U' but is required for match vs New Dawn X1 on 2026-01-07.</t>
  </si>
  <si>
    <t>Date: 2026-02-23</t>
  </si>
  <si>
    <t>Player 'Shashank Bhandari' is marked 'U' but is required for match vs South Dublin X2 on 2026-02-23.</t>
  </si>
  <si>
    <t>Date: 2025-12-11</t>
  </si>
  <si>
    <t>Player 'Maeve Twomey' is marked 'U' but is required for match vs Portarlington L1 on 2025-12-11.</t>
  </si>
  <si>
    <t>Date: 2025-11-20</t>
  </si>
  <si>
    <t>Player 'Ketki Chauhan' is marked 'U' but is required for match vs Baldoyle District L1 on 2025-11-20.</t>
  </si>
  <si>
    <t>Date: 2025-12-03</t>
  </si>
  <si>
    <t>Player 'Aaron Chen' is marked 'U' but is required for match vs Old School X2 on 2025-12-03.</t>
  </si>
  <si>
    <t>Player 'Grace Webster' is marked 'U' but is required for match vs Portarlington X1 on 2025-12-01.</t>
  </si>
  <si>
    <t>Conflict (X vs X)</t>
  </si>
  <si>
    <t>Player 'Chloe Quijano' is double-booked on 2025-12-11 for a match with team L3 (vs Portarlington L1).</t>
  </si>
  <si>
    <t>Player 'Craig McCourtney' is double-booked on 2025-12-16 for a match with team X4 (vs KADCA X1).</t>
  </si>
  <si>
    <t>User</t>
  </si>
  <si>
    <t>Function</t>
  </si>
  <si>
    <t>Summary</t>
  </si>
  <si>
    <t>Added X</t>
  </si>
  <si>
    <t>Added R</t>
  </si>
  <si>
    <t>Removed X</t>
  </si>
  <si>
    <t>Removed R</t>
  </si>
  <si>
    <t>Removed U</t>
  </si>
  <si>
    <t>fixtureflow.ddlc@gmail.com</t>
  </si>
  <si>
    <t>fillAvailabilityX</t>
  </si>
  <si>
    <t>Synced Fixtures to Availability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</si>
</sst>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 yyyy"/>
    <numFmt numFmtId="165" formatCode="dddd&quot;   &quot;"/>
    <numFmt numFmtId="166" formatCode="hh:mm"/>
    <numFmt numFmtId="167" formatCode="dddd&quot;, &quot;d&quot; &quot;mmm&quot; &quot;yyyy"/>
    <numFmt numFmtId="168" formatCode="m/d/yyyy h:mm:ss"/>
    <numFmt numFmtId="169" formatCode="d/m/yyyy"/>
    <numFmt numFmtId="170" formatCode="dd/mm/yyyy"/>
  </numFmts>
  <fonts count="4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20.0"/>
      <color theme="1"/>
      <name val="Arial"/>
    </font>
    <font/>
    <font>
      <b/>
      <sz val="20.0"/>
      <color theme="1"/>
      <name val="Times New Roman"/>
    </font>
    <font>
      <sz val="10.0"/>
      <color theme="1"/>
      <name val="Times New Roman"/>
    </font>
    <font>
      <b/>
      <sz val="16.0"/>
      <color rgb="FF0000FF"/>
      <name val="Arial"/>
    </font>
    <font>
      <b/>
      <sz val="16.0"/>
      <color rgb="FF0000FF"/>
      <name val="Times New Roman"/>
    </font>
    <font>
      <b/>
      <i/>
      <sz val="14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u/>
      <sz val="18.0"/>
      <color rgb="FF0000FF"/>
      <name val="Arial"/>
    </font>
    <font>
      <b/>
      <sz val="18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b/>
      <i/>
      <sz val="11.0"/>
      <color theme="1"/>
      <name val="Arial"/>
    </font>
    <font>
      <b/>
      <i/>
      <sz val="11.0"/>
      <color rgb="FF008000"/>
      <name val="Arial"/>
    </font>
    <font>
      <b/>
      <i/>
      <sz val="11.0"/>
      <color rgb="FF993300"/>
      <name val="Arial"/>
    </font>
    <font>
      <b/>
      <i/>
      <sz val="11.0"/>
      <color rgb="FF0066CC"/>
      <name val="Arial"/>
    </font>
    <font>
      <b/>
      <color theme="1"/>
      <name val="Arial"/>
    </font>
    <font>
      <color theme="1"/>
      <name val="Arial"/>
    </font>
    <font>
      <b/>
      <sz val="11.0"/>
      <color rgb="FFFF0000"/>
      <name val="Arial"/>
    </font>
    <font>
      <b/>
      <sz val="9.0"/>
      <color theme="1"/>
      <name val="Arial"/>
    </font>
    <font>
      <b/>
      <sz val="9.0"/>
      <color rgb="FF993300"/>
      <name val="Arial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1B1C1D"/>
      <name val="Google Sans Text"/>
    </font>
    <font>
      <b/>
      <sz val="10.0"/>
      <color theme="1"/>
      <name val="Google Sans Text"/>
    </font>
    <font>
      <color rgb="FF1B1C1D"/>
      <name val="Google Sans Text"/>
    </font>
    <font>
      <sz val="9.0"/>
      <color theme="1"/>
      <name val="Google Sans Text"/>
    </font>
    <font>
      <sz val="10.0"/>
      <color theme="1"/>
      <name val="Google Sans Text"/>
    </font>
    <font>
      <b/>
      <color rgb="FF1B1C1D"/>
      <name val="&quot;Google Sans Text&quot;"/>
    </font>
    <font>
      <color rgb="FF1B1C1D"/>
      <name val="&quot;Google Sans Text&quot;"/>
    </font>
    <font>
      <color rgb="FF444746"/>
      <name val="&quot;Google Sans Text&quot;"/>
    </font>
    <font>
      <u/>
      <color rgb="FF1B1C1D"/>
      <name val="&quot;Google Sans Text&quot;"/>
    </font>
    <font>
      <color rgb="FF434343"/>
      <name val="Roboto"/>
    </font>
    <font>
      <color rgb="FF434343"/>
      <name val="Arial"/>
    </font>
    <font>
      <sz val="10.0"/>
      <color rgb="FF1F1F1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C0C0C0"/>
      </bottom>
    </border>
    <border>
      <left style="thin">
        <color rgb="FF000000"/>
      </left>
      <right style="thin">
        <color rgb="FF000000"/>
      </right>
      <top/>
      <bottom style="thin">
        <color rgb="FFC0C0C0"/>
      </bottom>
    </border>
    <border>
      <left/>
      <right style="thin">
        <color rgb="FF000000"/>
      </right>
      <top/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bottom style="thin">
        <color rgb="FFC0C0C0"/>
      </bottom>
    </border>
    <border>
      <left style="thin">
        <color rgb="FF000000"/>
      </left>
      <right/>
      <top/>
      <bottom style="thin">
        <color rgb="FFC0C0C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2" numFmtId="0" xfId="0" applyFont="1"/>
    <xf borderId="0" fillId="2" fontId="2" numFmtId="0" xfId="0" applyAlignment="1" applyFont="1">
      <alignment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right" shrinkToFit="0" vertical="center" wrapText="0"/>
    </xf>
    <xf borderId="1" fillId="2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bottom" wrapText="0"/>
    </xf>
    <xf borderId="6" fillId="2" fontId="9" numFmtId="0" xfId="0" applyAlignment="1" applyBorder="1" applyFont="1">
      <alignment horizontal="right" shrinkToFit="0" vertical="bottom" wrapText="0"/>
    </xf>
    <xf borderId="7" fillId="2" fontId="10" numFmtId="0" xfId="0" applyAlignment="1" applyBorder="1" applyFont="1">
      <alignment horizontal="center" readingOrder="0" shrinkToFit="0" vertical="bottom" wrapText="0"/>
    </xf>
    <xf borderId="8" fillId="0" fontId="4" numFmtId="0" xfId="0" applyBorder="1" applyFont="1"/>
    <xf borderId="9" fillId="0" fontId="4" numFmtId="0" xfId="0" applyBorder="1" applyFont="1"/>
    <xf borderId="6" fillId="2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1" fillId="0" fontId="14" numFmtId="0" xfId="0" applyAlignment="1" applyBorder="1" applyFont="1">
      <alignment shrinkToFit="0" vertical="bottom" wrapText="0"/>
    </xf>
    <xf borderId="1" fillId="2" fontId="15" numFmtId="0" xfId="0" applyAlignment="1" applyBorder="1" applyFont="1">
      <alignment horizontal="right" shrinkToFit="0" vertical="bottom" wrapText="0"/>
    </xf>
    <xf borderId="1" fillId="2" fontId="11" numFmtId="0" xfId="0" applyAlignment="1" applyBorder="1" applyFont="1">
      <alignment horizontal="center"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horizontal="center" shrinkToFit="0" vertical="bottom" wrapText="0"/>
    </xf>
    <xf borderId="12" fillId="2" fontId="16" numFmtId="0" xfId="0" applyAlignment="1" applyBorder="1" applyFont="1">
      <alignment horizontal="center" shrinkToFit="0" vertical="bottom" wrapText="0"/>
    </xf>
    <xf borderId="13" fillId="2" fontId="14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horizontal="right" shrinkToFit="0" vertical="center" wrapText="0"/>
    </xf>
    <xf borderId="1" fillId="2" fontId="17" numFmtId="0" xfId="0" applyAlignment="1" applyBorder="1" applyFont="1">
      <alignment horizontal="right" shrinkToFit="0" vertical="center" wrapText="0"/>
    </xf>
    <xf borderId="14" fillId="3" fontId="11" numFmtId="0" xfId="0" applyAlignment="1" applyBorder="1" applyFill="1" applyFont="1">
      <alignment horizontal="center" readingOrder="0" shrinkToFit="0" vertical="center" wrapText="0"/>
    </xf>
    <xf borderId="1" fillId="2" fontId="18" numFmtId="0" xfId="0" applyAlignment="1" applyBorder="1" applyFont="1">
      <alignment horizontal="right" shrinkToFit="0" vertical="center" wrapText="0"/>
    </xf>
    <xf borderId="1" fillId="2" fontId="19" numFmtId="0" xfId="0" applyAlignment="1" applyBorder="1" applyFont="1">
      <alignment horizontal="right" shrinkToFit="0" vertical="center" wrapText="0"/>
    </xf>
    <xf borderId="0" fillId="0" fontId="14" numFmtId="0" xfId="0" applyAlignment="1" applyFont="1">
      <alignment shrinkToFit="0" vertical="center" wrapText="0"/>
    </xf>
    <xf borderId="15" fillId="3" fontId="1" numFmtId="0" xfId="0" applyAlignment="1" applyBorder="1" applyFont="1">
      <alignment horizontal="center" readingOrder="0" shrinkToFit="0" vertical="center" wrapText="0"/>
    </xf>
    <xf borderId="16" fillId="0" fontId="4" numFmtId="0" xfId="0" applyBorder="1" applyFont="1"/>
    <xf borderId="17" fillId="3" fontId="1" numFmtId="49" xfId="0" applyAlignment="1" applyBorder="1" applyFont="1" applyNumberFormat="1">
      <alignment horizontal="center" readingOrder="0" shrinkToFit="0" vertical="center" wrapText="0"/>
    </xf>
    <xf borderId="18" fillId="2" fontId="14" numFmtId="0" xfId="0" applyAlignment="1" applyBorder="1" applyFont="1">
      <alignment shrinkToFit="0" vertical="bottom" wrapText="0"/>
    </xf>
    <xf borderId="19" fillId="0" fontId="16" numFmtId="0" xfId="0" applyAlignment="1" applyBorder="1" applyFont="1">
      <alignment shrinkToFit="0" vertical="bottom" wrapText="0"/>
    </xf>
    <xf borderId="20" fillId="2" fontId="15" numFmtId="0" xfId="0" applyAlignment="1" applyBorder="1" applyFont="1">
      <alignment horizontal="right" shrinkToFit="0" vertical="bottom" wrapText="0"/>
    </xf>
    <xf borderId="20" fillId="2" fontId="11" numFmtId="0" xfId="0" applyAlignment="1" applyBorder="1" applyFont="1">
      <alignment horizontal="center" shrinkToFit="0" vertical="bottom" wrapText="0"/>
    </xf>
    <xf borderId="20" fillId="2" fontId="15" numFmtId="0" xfId="0" applyAlignment="1" applyBorder="1" applyFont="1">
      <alignment horizontal="right" shrinkToFit="0" vertical="center" wrapText="0"/>
    </xf>
    <xf borderId="20" fillId="2" fontId="11" numFmtId="0" xfId="0" applyAlignment="1" applyBorder="1" applyFont="1">
      <alignment horizontal="center" shrinkToFit="0" vertical="center" wrapText="0"/>
    </xf>
    <xf borderId="19" fillId="0" fontId="14" numFmtId="0" xfId="0" applyAlignment="1" applyBorder="1" applyFont="1">
      <alignment shrinkToFit="0" vertical="bottom" wrapText="0"/>
    </xf>
    <xf borderId="20" fillId="2" fontId="14" numFmtId="0" xfId="0" applyAlignment="1" applyBorder="1" applyFont="1">
      <alignment shrinkToFit="0" vertical="bottom" wrapText="0"/>
    </xf>
    <xf borderId="21" fillId="2" fontId="14" numFmtId="0" xfId="0" applyAlignment="1" applyBorder="1" applyFont="1">
      <alignment shrinkToFit="0" vertical="bottom" wrapText="0"/>
    </xf>
    <xf borderId="22" fillId="2" fontId="14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3" fillId="4" fontId="11" numFmtId="0" xfId="0" applyAlignment="1" applyBorder="1" applyFill="1" applyFont="1">
      <alignment horizontal="center" shrinkToFit="0" vertical="center" wrapText="1"/>
    </xf>
    <xf borderId="24" fillId="5" fontId="11" numFmtId="0" xfId="0" applyAlignment="1" applyBorder="1" applyFill="1" applyFont="1">
      <alignment horizontal="center" shrinkToFit="0" vertical="center" wrapText="0"/>
    </xf>
    <xf borderId="25" fillId="0" fontId="4" numFmtId="0" xfId="0" applyBorder="1" applyFont="1"/>
    <xf borderId="26" fillId="4" fontId="11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shrinkToFit="0" vertical="bottom" wrapText="0"/>
    </xf>
    <xf borderId="0" fillId="2" fontId="20" numFmtId="0" xfId="0" applyAlignment="1" applyFont="1">
      <alignment vertical="bottom"/>
    </xf>
    <xf borderId="2" fillId="2" fontId="21" numFmtId="0" xfId="0" applyAlignment="1" applyBorder="1" applyFont="1">
      <alignment vertical="bottom"/>
    </xf>
    <xf borderId="27" fillId="4" fontId="11" numFmtId="0" xfId="0" applyAlignment="1" applyBorder="1" applyFont="1">
      <alignment horizontal="center" shrinkToFit="0" wrapText="1"/>
    </xf>
    <xf borderId="28" fillId="4" fontId="11" numFmtId="0" xfId="0" applyAlignment="1" applyBorder="1" applyFont="1">
      <alignment horizontal="center"/>
    </xf>
    <xf borderId="29" fillId="4" fontId="11" numFmtId="0" xfId="0" applyAlignment="1" applyBorder="1" applyFont="1">
      <alignment horizontal="center"/>
    </xf>
    <xf borderId="30" fillId="4" fontId="11" numFmtId="0" xfId="0" applyAlignment="1" applyBorder="1" applyFont="1">
      <alignment horizontal="center"/>
    </xf>
    <xf borderId="30" fillId="4" fontId="11" numFmtId="0" xfId="0" applyAlignment="1" applyBorder="1" applyFont="1">
      <alignment horizontal="center" shrinkToFit="0" wrapText="1"/>
    </xf>
    <xf borderId="30" fillId="4" fontId="20" numFmtId="0" xfId="0" applyAlignment="1" applyBorder="1" applyFont="1">
      <alignment horizontal="center"/>
    </xf>
    <xf borderId="29" fillId="4" fontId="20" numFmtId="0" xfId="0" applyAlignment="1" applyBorder="1" applyFont="1">
      <alignment horizontal="center" shrinkToFit="0" wrapText="1"/>
    </xf>
    <xf borderId="29" fillId="4" fontId="20" numFmtId="0" xfId="0" applyAlignment="1" applyBorder="1" applyFont="1">
      <alignment horizontal="center" shrinkToFit="0" wrapText="1"/>
    </xf>
    <xf borderId="29" fillId="4" fontId="22" numFmtId="0" xfId="0" applyAlignment="1" applyBorder="1" applyFont="1">
      <alignment horizontal="center" shrinkToFit="0" wrapText="1"/>
    </xf>
    <xf borderId="20" fillId="4" fontId="20" numFmtId="0" xfId="0" applyAlignment="1" applyBorder="1" applyFont="1">
      <alignment horizontal="center" shrinkToFit="0" wrapText="1"/>
    </xf>
    <xf borderId="29" fillId="4" fontId="11" numFmtId="0" xfId="0" applyAlignment="1" applyBorder="1" applyFont="1">
      <alignment horizontal="center" shrinkToFit="0" wrapText="1"/>
    </xf>
    <xf borderId="29" fillId="4" fontId="20" numFmtId="0" xfId="0" applyAlignment="1" applyBorder="1" applyFont="1">
      <alignment horizontal="center" readingOrder="0" shrinkToFit="0" wrapText="1"/>
    </xf>
    <xf borderId="31" fillId="4" fontId="11" numFmtId="0" xfId="0" applyAlignment="1" applyBorder="1" applyFont="1">
      <alignment horizontal="center" shrinkToFit="0" wrapText="1"/>
    </xf>
    <xf borderId="4" fillId="2" fontId="21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2" fontId="21" numFmtId="0" xfId="0" applyAlignment="1" applyFont="1">
      <alignment shrinkToFit="0" vertical="bottom" wrapText="0"/>
    </xf>
    <xf borderId="1" fillId="2" fontId="21" numFmtId="0" xfId="0" applyAlignment="1" applyBorder="1" applyFont="1">
      <alignment vertical="bottom"/>
    </xf>
    <xf borderId="32" fillId="2" fontId="20" numFmtId="0" xfId="0" applyAlignment="1" applyBorder="1" applyFont="1">
      <alignment horizontal="center" vertical="bottom"/>
    </xf>
    <xf borderId="33" fillId="6" fontId="23" numFmtId="164" xfId="0" applyAlignment="1" applyBorder="1" applyFill="1" applyFont="1" applyNumberFormat="1">
      <alignment horizontal="center" vertical="bottom"/>
    </xf>
    <xf borderId="34" fillId="6" fontId="23" numFmtId="165" xfId="0" applyAlignment="1" applyBorder="1" applyFont="1" applyNumberFormat="1">
      <alignment horizontal="center" vertical="bottom"/>
    </xf>
    <xf borderId="33" fillId="6" fontId="23" numFmtId="166" xfId="0" applyAlignment="1" applyBorder="1" applyFont="1" applyNumberFormat="1">
      <alignment horizontal="center" vertical="bottom"/>
    </xf>
    <xf borderId="35" fillId="0" fontId="23" numFmtId="49" xfId="0" applyAlignment="1" applyBorder="1" applyFont="1" applyNumberFormat="1">
      <alignment horizontal="center" vertical="bottom"/>
    </xf>
    <xf borderId="34" fillId="2" fontId="23" numFmtId="0" xfId="0" applyAlignment="1" applyBorder="1" applyFont="1">
      <alignment horizontal="center" vertical="bottom"/>
    </xf>
    <xf borderId="33" fillId="2" fontId="23" numFmtId="0" xfId="0" applyAlignment="1" applyBorder="1" applyFont="1">
      <alignment horizontal="center" vertical="bottom"/>
    </xf>
    <xf borderId="33" fillId="4" fontId="23" numFmtId="0" xfId="0" applyAlignment="1" applyBorder="1" applyFont="1">
      <alignment horizontal="center" vertical="bottom"/>
    </xf>
    <xf borderId="34" fillId="2" fontId="23" numFmtId="49" xfId="0" applyAlignment="1" applyBorder="1" applyFont="1" applyNumberFormat="1">
      <alignment horizontal="center" vertical="bottom"/>
    </xf>
    <xf borderId="34" fillId="2" fontId="24" numFmtId="49" xfId="0" applyAlignment="1" applyBorder="1" applyFont="1" applyNumberFormat="1">
      <alignment horizontal="center" vertical="bottom"/>
    </xf>
    <xf borderId="36" fillId="0" fontId="23" numFmtId="0" xfId="0" applyAlignment="1" applyBorder="1" applyFont="1">
      <alignment horizontal="center" vertical="bottom"/>
    </xf>
    <xf borderId="37" fillId="0" fontId="23" numFmtId="0" xfId="0" applyAlignment="1" applyBorder="1" applyFont="1">
      <alignment horizontal="center" vertical="bottom"/>
    </xf>
    <xf borderId="38" fillId="6" fontId="23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0" fillId="6" fontId="21" numFmtId="0" xfId="0" applyAlignment="1" applyFont="1">
      <alignment vertical="bottom"/>
    </xf>
    <xf borderId="32" fillId="2" fontId="20" numFmtId="0" xfId="0" applyAlignment="1" applyBorder="1" applyFont="1">
      <alignment horizontal="center" vertical="bottom"/>
    </xf>
    <xf borderId="39" fillId="0" fontId="23" numFmtId="0" xfId="0" applyAlignment="1" applyBorder="1" applyFont="1">
      <alignment horizontal="center" vertical="bottom"/>
    </xf>
    <xf borderId="0" fillId="2" fontId="21" numFmtId="0" xfId="0" applyAlignment="1" applyFont="1">
      <alignment shrinkToFit="0" vertical="bottom" wrapText="0"/>
    </xf>
    <xf borderId="33" fillId="6" fontId="23" numFmtId="20" xfId="0" applyAlignment="1" applyBorder="1" applyFont="1" applyNumberFormat="1">
      <alignment horizontal="center" vertical="bottom"/>
    </xf>
    <xf borderId="40" fillId="0" fontId="23" numFmtId="49" xfId="0" applyAlignment="1" applyBorder="1" applyFont="1" applyNumberFormat="1">
      <alignment horizontal="center" vertical="bottom"/>
    </xf>
    <xf borderId="34" fillId="6" fontId="23" numFmtId="166" xfId="0" applyAlignment="1" applyBorder="1" applyFont="1" applyNumberFormat="1">
      <alignment horizontal="center" vertical="bottom"/>
    </xf>
    <xf borderId="0" fillId="0" fontId="21" numFmtId="0" xfId="0" applyAlignment="1" applyFont="1">
      <alignment vertical="bottom"/>
    </xf>
    <xf borderId="33" fillId="2" fontId="23" numFmtId="49" xfId="0" applyAlignment="1" applyBorder="1" applyFont="1" applyNumberFormat="1">
      <alignment horizontal="center" vertical="bottom"/>
    </xf>
    <xf borderId="40" fillId="0" fontId="23" numFmtId="0" xfId="0" applyAlignment="1" applyBorder="1" applyFont="1">
      <alignment horizontal="center" vertical="bottom"/>
    </xf>
    <xf borderId="41" fillId="2" fontId="23" numFmtId="0" xfId="0" applyAlignment="1" applyBorder="1" applyFont="1">
      <alignment horizontal="center" vertical="bottom"/>
    </xf>
    <xf borderId="33" fillId="0" fontId="23" numFmtId="49" xfId="0" applyAlignment="1" applyBorder="1" applyFont="1" applyNumberFormat="1">
      <alignment horizontal="center" vertical="bottom"/>
    </xf>
    <xf borderId="34" fillId="0" fontId="23" numFmtId="49" xfId="0" applyAlignment="1" applyBorder="1" applyFont="1" applyNumberFormat="1">
      <alignment horizontal="center" vertical="bottom"/>
    </xf>
    <xf borderId="0" fillId="2" fontId="21" numFmtId="0" xfId="0" applyAlignment="1" applyFont="1">
      <alignment vertical="bottom"/>
    </xf>
    <xf borderId="0" fillId="6" fontId="23" numFmtId="166" xfId="0" applyAlignment="1" applyFont="1" applyNumberFormat="1">
      <alignment horizontal="center" vertical="bottom"/>
    </xf>
    <xf borderId="38" fillId="6" fontId="21" numFmtId="0" xfId="0" applyAlignment="1" applyBorder="1" applyFont="1">
      <alignment vertical="bottom"/>
    </xf>
    <xf borderId="33" fillId="6" fontId="21" numFmtId="164" xfId="0" applyAlignment="1" applyBorder="1" applyFont="1" applyNumberFormat="1">
      <alignment vertical="bottom"/>
    </xf>
    <xf borderId="34" fillId="6" fontId="21" numFmtId="0" xfId="0" applyAlignment="1" applyBorder="1" applyFont="1">
      <alignment vertical="bottom"/>
    </xf>
    <xf borderId="33" fillId="6" fontId="21" numFmtId="166" xfId="0" applyAlignment="1" applyBorder="1" applyFont="1" applyNumberFormat="1">
      <alignment vertical="bottom"/>
    </xf>
    <xf borderId="33" fillId="2" fontId="21" numFmtId="0" xfId="0" applyAlignment="1" applyBorder="1" applyFont="1">
      <alignment vertical="bottom"/>
    </xf>
    <xf borderId="37" fillId="2" fontId="23" numFmtId="0" xfId="0" applyAlignment="1" applyBorder="1" applyFont="1">
      <alignment horizontal="center" vertical="bottom"/>
    </xf>
    <xf borderId="35" fillId="2" fontId="23" numFmtId="0" xfId="0" applyAlignment="1" applyBorder="1" applyFont="1">
      <alignment horizontal="center" vertical="bottom"/>
    </xf>
    <xf borderId="1" fillId="0" fontId="21" numFmtId="0" xfId="0" applyAlignment="1" applyBorder="1" applyFont="1">
      <alignment vertical="bottom"/>
    </xf>
    <xf borderId="0" fillId="0" fontId="25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horizontal="center" readingOrder="0"/>
    </xf>
    <xf borderId="0" fillId="0" fontId="27" numFmtId="167" xfId="0" applyAlignment="1" applyFont="1" applyNumberFormat="1">
      <alignment readingOrder="0"/>
    </xf>
    <xf borderId="0" fillId="0" fontId="27" numFmtId="0" xfId="0" applyFont="1"/>
    <xf borderId="0" fillId="0" fontId="27" numFmtId="9" xfId="0" applyFont="1" applyNumberFormat="1"/>
    <xf borderId="0" fillId="0" fontId="27" numFmtId="0" xfId="0" applyAlignment="1" applyFont="1">
      <alignment shrinkToFit="0" wrapText="1"/>
    </xf>
    <xf borderId="0" fillId="0" fontId="27" numFmtId="0" xfId="0" applyAlignment="1" applyFont="1">
      <alignment readingOrder="0"/>
    </xf>
    <xf borderId="0" fillId="0" fontId="27" numFmtId="168" xfId="0" applyAlignment="1" applyFont="1" applyNumberFormat="1">
      <alignment readingOrder="0"/>
    </xf>
    <xf borderId="0" fillId="0" fontId="27" numFmtId="14" xfId="0" applyAlignment="1" applyFont="1" applyNumberFormat="1">
      <alignment readingOrder="0"/>
    </xf>
    <xf borderId="0" fillId="0" fontId="27" numFmtId="166" xfId="0" applyAlignment="1" applyFont="1" applyNumberFormat="1">
      <alignment readingOrder="0"/>
    </xf>
    <xf borderId="0" fillId="0" fontId="21" numFmtId="0" xfId="0" applyAlignment="1" applyFont="1">
      <alignment readingOrder="0" vertical="bottom"/>
    </xf>
    <xf borderId="0" fillId="0" fontId="27" numFmtId="167" xfId="0" applyAlignment="1" applyFont="1" applyNumberFormat="1">
      <alignment readingOrder="0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center" readingOrder="0" vertical="center"/>
    </xf>
    <xf borderId="0" fillId="0" fontId="30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readingOrder="0"/>
    </xf>
    <xf borderId="0" fillId="2" fontId="32" numFmtId="0" xfId="0" applyAlignment="1" applyFont="1">
      <alignment readingOrder="0" shrinkToFit="0" vertical="bottom" wrapText="1"/>
    </xf>
    <xf borderId="0" fillId="0" fontId="33" numFmtId="0" xfId="0" applyAlignment="1" applyFont="1">
      <alignment readingOrder="0" shrinkToFit="0" wrapText="1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5" numFmtId="0" xfId="0" applyFont="1"/>
    <xf borderId="0" fillId="0" fontId="36" numFmtId="166" xfId="0" applyAlignment="1" applyFont="1" applyNumberFormat="1">
      <alignment readingOrder="0"/>
    </xf>
    <xf borderId="0" fillId="0" fontId="27" numFmtId="0" xfId="0" applyAlignment="1" applyFont="1">
      <alignment horizontal="left" readingOrder="0" shrinkToFit="0" vertical="center" wrapText="0"/>
    </xf>
    <xf borderId="0" fillId="0" fontId="27" numFmtId="0" xfId="0" applyAlignment="1" applyFont="1">
      <alignment horizontal="left" readingOrder="0" shrinkToFit="0" vertical="center" wrapText="0"/>
    </xf>
    <xf borderId="0" fillId="0" fontId="27" numFmtId="0" xfId="0" applyAlignment="1" applyFont="1">
      <alignment horizontal="left" readingOrder="0" shrinkToFit="0" vertical="center" wrapText="0"/>
    </xf>
    <xf borderId="42" fillId="2" fontId="38" numFmtId="168" xfId="0" applyAlignment="1" applyBorder="1" applyFont="1" applyNumberFormat="1">
      <alignment horizontal="right" shrinkToFit="0" vertical="center" wrapText="0"/>
    </xf>
    <xf borderId="43" fillId="2" fontId="38" numFmtId="0" xfId="0" applyAlignment="1" applyBorder="1" applyFont="1">
      <alignment shrinkToFit="0" vertical="center" wrapText="0"/>
    </xf>
    <xf borderId="44" fillId="2" fontId="38" numFmtId="0" xfId="0" applyAlignment="1" applyBorder="1" applyFont="1">
      <alignment readingOrder="0" shrinkToFit="0" vertical="center" wrapText="0"/>
    </xf>
    <xf borderId="45" fillId="7" fontId="38" numFmtId="168" xfId="0" applyAlignment="1" applyBorder="1" applyFill="1" applyFont="1" applyNumberFormat="1">
      <alignment horizontal="right" shrinkToFit="0" vertical="center" wrapText="0"/>
    </xf>
    <xf borderId="46" fillId="7" fontId="38" numFmtId="0" xfId="0" applyAlignment="1" applyBorder="1" applyFont="1">
      <alignment shrinkToFit="0" vertical="center" wrapText="0"/>
    </xf>
    <xf borderId="47" fillId="7" fontId="38" numFmtId="0" xfId="0" applyAlignment="1" applyBorder="1" applyFont="1">
      <alignment readingOrder="0" shrinkToFit="0" vertical="center" wrapText="0"/>
    </xf>
    <xf borderId="46" fillId="7" fontId="38" numFmtId="0" xfId="0" applyAlignment="1" applyBorder="1" applyFont="1">
      <alignment shrinkToFit="0" vertical="center" wrapText="1"/>
    </xf>
    <xf borderId="43" fillId="2" fontId="38" numFmtId="0" xfId="0" applyAlignment="1" applyBorder="1" applyFont="1">
      <alignment shrinkToFit="0" vertical="center" wrapText="1"/>
    </xf>
    <xf quotePrefix="1" borderId="46" fillId="7" fontId="38" numFmtId="0" xfId="0" applyAlignment="1" applyBorder="1" applyFont="1">
      <alignment shrinkToFit="0" vertical="center" wrapText="1"/>
    </xf>
    <xf borderId="43" fillId="2" fontId="38" numFmtId="0" xfId="0" applyAlignment="1" applyBorder="1" applyFont="1">
      <alignment readingOrder="0" shrinkToFit="0" vertical="center" wrapText="0"/>
    </xf>
    <xf quotePrefix="1" borderId="43" fillId="2" fontId="38" numFmtId="0" xfId="0" applyAlignment="1" applyBorder="1" applyFont="1">
      <alignment shrinkToFit="0" vertical="center" wrapText="1"/>
    </xf>
    <xf quotePrefix="1" borderId="46" fillId="7" fontId="38" numFmtId="0" xfId="0" applyAlignment="1" applyBorder="1" applyFont="1">
      <alignment shrinkToFit="0" vertical="center" wrapText="0"/>
    </xf>
    <xf borderId="44" fillId="2" fontId="39" numFmtId="0" xfId="0" applyAlignment="1" applyBorder="1" applyFont="1">
      <alignment readingOrder="0" shrinkToFit="0" vertical="center" wrapText="0"/>
    </xf>
    <xf borderId="48" fillId="7" fontId="38" numFmtId="168" xfId="0" applyAlignment="1" applyBorder="1" applyFont="1" applyNumberFormat="1">
      <alignment horizontal="right" shrinkToFit="0" vertical="center" wrapText="0"/>
    </xf>
    <xf borderId="49" fillId="7" fontId="38" numFmtId="0" xfId="0" applyAlignment="1" applyBorder="1" applyFont="1">
      <alignment shrinkToFit="0" vertical="center" wrapText="0"/>
    </xf>
    <xf borderId="50" fillId="7" fontId="38" numFmtId="0" xfId="0" applyAlignment="1" applyBorder="1" applyFont="1">
      <alignment readingOrder="0" shrinkToFit="0" vertical="center" wrapText="0"/>
    </xf>
    <xf borderId="0" fillId="0" fontId="40" numFmtId="0" xfId="0" applyAlignment="1" applyFont="1">
      <alignment readingOrder="0" shrinkToFit="0" wrapText="1"/>
    </xf>
    <xf borderId="0" fillId="0" fontId="40" numFmtId="168" xfId="0" applyAlignment="1" applyFont="1" applyNumberFormat="1">
      <alignment readingOrder="0" shrinkToFit="0" wrapText="1"/>
    </xf>
    <xf borderId="0" fillId="0" fontId="40" numFmtId="169" xfId="0" applyAlignment="1" applyFont="1" applyNumberFormat="1">
      <alignment readingOrder="0" shrinkToFit="0" wrapText="1"/>
    </xf>
    <xf borderId="0" fillId="0" fontId="40" numFmtId="170" xfId="0" applyAlignment="1" applyFont="1" applyNumberForma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724025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1724025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9" displayName="Form_Responses1" name="Form_Responses1" id="1">
  <tableColumns count="4">
    <tableColumn name="Timestamp" id="1"/>
    <tableColumn name="Player Name" id="2"/>
    <tableColumn name="Unavailable Dates" id="3"/>
    <tableColumn name="Status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dkIw0G_jGzIQyLRxr2evp1FbkJ9yd9CATzkLp0ggZBPpbtK_tppu2Iv5JIyG74ya9gw/exe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Ktd-yNnR-TV7fcUYUemU6zFU-AFMreZZ-POu7suQ_Vkf3RnS0sluZ5li9eQ2thKezMQ/exec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5.38"/>
    <col customWidth="1" min="2" max="2" width="3.25"/>
    <col customWidth="1" min="3" max="3" width="6.38"/>
    <col customWidth="1" min="4" max="4" width="18.75"/>
    <col customWidth="1" min="5" max="5" width="10.88"/>
    <col customWidth="1" min="6" max="6" width="8.0"/>
    <col customWidth="1" min="7" max="7" width="8.88"/>
    <col customWidth="1" min="8" max="8" width="6.0"/>
    <col customWidth="1" min="9" max="9" width="6.38"/>
    <col customWidth="1" min="10" max="10" width="9.5"/>
    <col customWidth="1" min="11" max="11" width="14.13"/>
    <col customWidth="1" min="12" max="12" width="8.63"/>
    <col customWidth="1" min="13" max="13" width="3.0"/>
    <col customWidth="1" min="14" max="14" width="8.75"/>
    <col customWidth="1" min="15" max="15" width="16.5"/>
    <col customWidth="1" min="16" max="16" width="7.63"/>
    <col customWidth="1" min="17" max="17" width="22.63"/>
    <col customWidth="1" min="18" max="18" width="3.25"/>
    <col customWidth="1" min="19" max="21" width="15.13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</row>
    <row r="2" ht="27.0" customHeight="1">
      <c r="A2" s="5"/>
      <c r="B2" s="3"/>
      <c r="C2" s="3"/>
      <c r="D2" s="3"/>
      <c r="E2" s="6" t="s">
        <v>0</v>
      </c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9"/>
      <c r="R2" s="3"/>
      <c r="S2" s="4"/>
      <c r="T2" s="4"/>
      <c r="U2" s="4"/>
    </row>
    <row r="3" ht="2.25" customHeight="1">
      <c r="A3" s="5"/>
      <c r="B3" s="3"/>
      <c r="C3" s="3"/>
      <c r="D3" s="3"/>
      <c r="E3" s="3"/>
      <c r="F3" s="3"/>
      <c r="G3" s="3"/>
      <c r="H3" s="3"/>
      <c r="I3" s="10"/>
      <c r="J3" s="10"/>
      <c r="K3" s="10"/>
      <c r="L3" s="10"/>
      <c r="M3" s="10"/>
      <c r="N3" s="3"/>
      <c r="O3" s="3"/>
      <c r="P3" s="3"/>
      <c r="Q3" s="3"/>
      <c r="R3" s="3"/>
      <c r="S3" s="4"/>
      <c r="T3" s="4"/>
      <c r="U3" s="4"/>
    </row>
    <row r="4" ht="19.5" customHeight="1">
      <c r="A4" s="5"/>
      <c r="B4" s="3"/>
      <c r="C4" s="3"/>
      <c r="D4" s="3"/>
      <c r="E4" s="11" t="s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12"/>
      <c r="R4" s="3"/>
      <c r="S4" s="4"/>
      <c r="T4" s="4"/>
      <c r="U4" s="4"/>
    </row>
    <row r="5" ht="6.75" customHeight="1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</row>
    <row r="6" ht="6.0" customHeight="1">
      <c r="A6" s="5"/>
      <c r="B6" s="3"/>
      <c r="C6" s="3"/>
      <c r="D6" s="3"/>
      <c r="E6" s="3"/>
      <c r="F6" s="3"/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4"/>
      <c r="T6" s="4"/>
      <c r="U6" s="4"/>
    </row>
    <row r="7" ht="24.0" customHeight="1">
      <c r="A7" s="5"/>
      <c r="B7" s="3"/>
      <c r="C7" s="15"/>
      <c r="D7" s="16" t="s">
        <v>2</v>
      </c>
      <c r="E7" s="17" t="s">
        <v>3</v>
      </c>
      <c r="F7" s="18"/>
      <c r="G7" s="18"/>
      <c r="H7" s="18"/>
      <c r="I7" s="18"/>
      <c r="J7" s="18"/>
      <c r="K7" s="18"/>
      <c r="L7" s="18"/>
      <c r="M7" s="18"/>
      <c r="N7" s="19"/>
      <c r="O7" s="20"/>
      <c r="P7" s="20"/>
      <c r="Q7" s="21"/>
      <c r="R7" s="22"/>
      <c r="S7" s="23" t="s">
        <v>4</v>
      </c>
      <c r="T7" s="24"/>
      <c r="U7" s="24"/>
    </row>
    <row r="8" ht="13.5" customHeight="1">
      <c r="A8" s="5"/>
      <c r="B8" s="3"/>
      <c r="C8" s="25"/>
      <c r="D8" s="26"/>
      <c r="E8" s="27"/>
      <c r="F8" s="27"/>
      <c r="G8" s="28"/>
      <c r="H8" s="28"/>
      <c r="I8" s="22"/>
      <c r="J8" s="22"/>
      <c r="K8" s="22"/>
      <c r="L8" s="22"/>
      <c r="M8" s="22"/>
      <c r="N8" s="22"/>
      <c r="O8" s="29" t="s">
        <v>5</v>
      </c>
      <c r="P8" s="29"/>
      <c r="Q8" s="30" t="s">
        <v>6</v>
      </c>
      <c r="R8" s="22"/>
      <c r="S8" s="4"/>
      <c r="T8" s="4"/>
      <c r="U8" s="4"/>
    </row>
    <row r="9" ht="21.0" customHeight="1">
      <c r="A9" s="5"/>
      <c r="B9" s="3"/>
      <c r="C9" s="31"/>
      <c r="D9" s="32" t="s">
        <v>7</v>
      </c>
      <c r="E9" s="33" t="s">
        <v>8</v>
      </c>
      <c r="F9" s="34"/>
      <c r="G9" s="28"/>
      <c r="H9" s="35" t="s">
        <v>9</v>
      </c>
      <c r="I9" s="34"/>
      <c r="J9" s="36" t="s">
        <v>10</v>
      </c>
      <c r="K9" s="34"/>
      <c r="L9" s="37"/>
      <c r="M9" s="37"/>
      <c r="N9" s="32" t="s">
        <v>11</v>
      </c>
      <c r="O9" s="38" t="s">
        <v>12</v>
      </c>
      <c r="P9" s="39"/>
      <c r="Q9" s="40" t="s">
        <v>13</v>
      </c>
      <c r="R9" s="22"/>
      <c r="S9" s="4"/>
      <c r="T9" s="4"/>
      <c r="U9" s="4"/>
    </row>
    <row r="10" ht="6.75" customHeight="1">
      <c r="A10" s="5"/>
      <c r="B10" s="3"/>
      <c r="C10" s="41"/>
      <c r="D10" s="42"/>
      <c r="E10" s="43"/>
      <c r="F10" s="44"/>
      <c r="G10" s="45"/>
      <c r="H10" s="45"/>
      <c r="I10" s="45"/>
      <c r="J10" s="46"/>
      <c r="K10" s="46"/>
      <c r="L10" s="46"/>
      <c r="M10" s="46"/>
      <c r="N10" s="47"/>
      <c r="O10" s="48"/>
      <c r="P10" s="48"/>
      <c r="Q10" s="49"/>
      <c r="R10" s="22"/>
      <c r="S10" s="4"/>
      <c r="T10" s="4"/>
      <c r="U10" s="4"/>
    </row>
    <row r="11" ht="5.25" customHeight="1">
      <c r="A11" s="5"/>
      <c r="B11" s="3"/>
      <c r="C11" s="50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50"/>
      <c r="R11" s="3"/>
      <c r="S11" s="4"/>
      <c r="T11" s="4"/>
      <c r="U11" s="4"/>
    </row>
    <row r="12" ht="18.0" customHeight="1">
      <c r="A12" s="5"/>
      <c r="B12" s="51"/>
      <c r="C12" s="52"/>
      <c r="D12" s="53" t="s">
        <v>14</v>
      </c>
      <c r="E12" s="18"/>
      <c r="F12" s="54"/>
      <c r="G12" s="53" t="s">
        <v>15</v>
      </c>
      <c r="H12" s="18"/>
      <c r="I12" s="18"/>
      <c r="J12" s="54"/>
      <c r="K12" s="53" t="s">
        <v>16</v>
      </c>
      <c r="L12" s="18"/>
      <c r="M12" s="18"/>
      <c r="N12" s="18"/>
      <c r="O12" s="18"/>
      <c r="P12" s="54"/>
      <c r="Q12" s="55"/>
      <c r="R12" s="56"/>
      <c r="S12" s="4"/>
      <c r="T12" s="4"/>
      <c r="U12" s="4"/>
    </row>
    <row r="13" ht="29.25" customHeight="1">
      <c r="A13" s="57" t="s">
        <v>17</v>
      </c>
      <c r="B13" s="58"/>
      <c r="C13" s="59" t="s">
        <v>18</v>
      </c>
      <c r="D13" s="60" t="s">
        <v>19</v>
      </c>
      <c r="E13" s="61" t="s">
        <v>20</v>
      </c>
      <c r="F13" s="62" t="s">
        <v>21</v>
      </c>
      <c r="G13" s="63" t="s">
        <v>22</v>
      </c>
      <c r="H13" s="62" t="s">
        <v>23</v>
      </c>
      <c r="I13" s="64" t="s">
        <v>24</v>
      </c>
      <c r="J13" s="65" t="s">
        <v>25</v>
      </c>
      <c r="K13" s="61" t="s">
        <v>26</v>
      </c>
      <c r="L13" s="66" t="s">
        <v>27</v>
      </c>
      <c r="M13" s="67" t="s">
        <v>28</v>
      </c>
      <c r="N13" s="68" t="s">
        <v>29</v>
      </c>
      <c r="O13" s="69" t="s">
        <v>30</v>
      </c>
      <c r="P13" s="70" t="s">
        <v>31</v>
      </c>
      <c r="Q13" s="71" t="s">
        <v>32</v>
      </c>
      <c r="R13" s="72"/>
      <c r="S13" s="73" t="s">
        <v>33</v>
      </c>
      <c r="T13" s="73"/>
      <c r="U13" s="73"/>
    </row>
    <row r="14">
      <c r="A14" s="74" t="str">
        <f t="shared" ref="A14:A15" si="1">G14&amp;L14&amp;N14&amp;O14</f>
        <v>LadiesL1HomeAilesbury</v>
      </c>
      <c r="B14" s="75"/>
      <c r="C14" s="76">
        <v>1.0</v>
      </c>
      <c r="D14" s="77">
        <v>45992.0</v>
      </c>
      <c r="E14" s="78">
        <f t="shared" ref="E14:E115" si="2">D14</f>
        <v>45992</v>
      </c>
      <c r="F14" s="79">
        <v>0.7916666666666666</v>
      </c>
      <c r="G14" s="80" t="s">
        <v>34</v>
      </c>
      <c r="H14" s="80" t="s">
        <v>35</v>
      </c>
      <c r="I14" s="81">
        <v>1.0</v>
      </c>
      <c r="J14" s="82" t="s">
        <v>36</v>
      </c>
      <c r="K14" s="83" t="s">
        <v>3</v>
      </c>
      <c r="L14" s="84" t="s">
        <v>37</v>
      </c>
      <c r="M14" s="85" t="s">
        <v>28</v>
      </c>
      <c r="N14" s="86" t="s">
        <v>38</v>
      </c>
      <c r="O14" s="87" t="s">
        <v>39</v>
      </c>
      <c r="P14" s="80" t="s">
        <v>37</v>
      </c>
      <c r="Q14" s="88" t="s">
        <v>3</v>
      </c>
      <c r="R14" s="89"/>
      <c r="S14" s="90" t="s">
        <v>40</v>
      </c>
      <c r="T14" s="90" t="s">
        <v>41</v>
      </c>
      <c r="U14" s="91" t="str">
        <f t="shared" ref="U14:U15" si="3">"MP "&amp;L14&amp;" "&amp;M14&amp;" "&amp;O14&amp;" "&amp;P14</f>
        <v>MP L1 v Ailesbury L1</v>
      </c>
    </row>
    <row r="15">
      <c r="A15" s="74" t="str">
        <f t="shared" si="1"/>
        <v>LadiesL1AwayAilesbury</v>
      </c>
      <c r="B15" s="75"/>
      <c r="C15" s="92">
        <v>2.0</v>
      </c>
      <c r="D15" s="77">
        <v>46002.0</v>
      </c>
      <c r="E15" s="78">
        <f t="shared" si="2"/>
        <v>46002</v>
      </c>
      <c r="F15" s="79">
        <v>0.7916666666666666</v>
      </c>
      <c r="G15" s="80" t="s">
        <v>34</v>
      </c>
      <c r="H15" s="80" t="s">
        <v>35</v>
      </c>
      <c r="I15" s="81">
        <v>1.0</v>
      </c>
      <c r="J15" s="82" t="s">
        <v>36</v>
      </c>
      <c r="K15" s="83" t="s">
        <v>3</v>
      </c>
      <c r="L15" s="84" t="s">
        <v>37</v>
      </c>
      <c r="M15" s="85" t="s">
        <v>28</v>
      </c>
      <c r="N15" s="87" t="s">
        <v>42</v>
      </c>
      <c r="O15" s="87" t="s">
        <v>39</v>
      </c>
      <c r="P15" s="80" t="s">
        <v>37</v>
      </c>
      <c r="Q15" s="88" t="s">
        <v>43</v>
      </c>
      <c r="R15" s="89"/>
      <c r="S15" s="90" t="s">
        <v>40</v>
      </c>
      <c r="T15" s="90" t="s">
        <v>44</v>
      </c>
      <c r="U15" s="91" t="str">
        <f t="shared" si="3"/>
        <v>MP L1 v Ailesbury L1</v>
      </c>
    </row>
    <row r="16">
      <c r="A16" s="74" t="s">
        <v>45</v>
      </c>
      <c r="B16" s="75"/>
      <c r="C16" s="76">
        <v>3.0</v>
      </c>
      <c r="D16" s="77">
        <v>45977.0</v>
      </c>
      <c r="E16" s="78">
        <f t="shared" si="2"/>
        <v>45977</v>
      </c>
      <c r="F16" s="79">
        <v>0.75</v>
      </c>
      <c r="G16" s="80" t="s">
        <v>34</v>
      </c>
      <c r="H16" s="80" t="s">
        <v>35</v>
      </c>
      <c r="I16" s="81">
        <v>1.0</v>
      </c>
      <c r="J16" s="82" t="s">
        <v>36</v>
      </c>
      <c r="K16" s="83" t="s">
        <v>3</v>
      </c>
      <c r="L16" s="84" t="s">
        <v>37</v>
      </c>
      <c r="M16" s="85" t="s">
        <v>28</v>
      </c>
      <c r="N16" s="87" t="s">
        <v>38</v>
      </c>
      <c r="O16" s="87" t="s">
        <v>3</v>
      </c>
      <c r="P16" s="80" t="s">
        <v>46</v>
      </c>
      <c r="Q16" s="88" t="s">
        <v>3</v>
      </c>
      <c r="R16" s="89"/>
      <c r="S16" s="90" t="s">
        <v>47</v>
      </c>
      <c r="T16" s="90" t="s">
        <v>41</v>
      </c>
      <c r="U16" s="91" t="s">
        <v>48</v>
      </c>
    </row>
    <row r="17">
      <c r="A17" s="74" t="s">
        <v>49</v>
      </c>
      <c r="B17" s="75"/>
      <c r="C17" s="92">
        <v>4.0</v>
      </c>
      <c r="D17" s="77">
        <v>45977.0</v>
      </c>
      <c r="E17" s="78">
        <f t="shared" si="2"/>
        <v>45977</v>
      </c>
      <c r="F17" s="79">
        <v>0.75</v>
      </c>
      <c r="G17" s="80" t="s">
        <v>34</v>
      </c>
      <c r="H17" s="80" t="s">
        <v>35</v>
      </c>
      <c r="I17" s="81">
        <v>1.0</v>
      </c>
      <c r="J17" s="82" t="s">
        <v>36</v>
      </c>
      <c r="K17" s="83" t="s">
        <v>3</v>
      </c>
      <c r="L17" s="84" t="s">
        <v>37</v>
      </c>
      <c r="M17" s="85" t="s">
        <v>28</v>
      </c>
      <c r="N17" s="87" t="s">
        <v>42</v>
      </c>
      <c r="O17" s="87" t="s">
        <v>3</v>
      </c>
      <c r="P17" s="93" t="s">
        <v>46</v>
      </c>
      <c r="Q17" s="88" t="s">
        <v>3</v>
      </c>
      <c r="R17" s="89"/>
      <c r="S17" s="90" t="s">
        <v>47</v>
      </c>
      <c r="T17" s="90" t="s">
        <v>44</v>
      </c>
      <c r="U17" s="91" t="s">
        <v>48</v>
      </c>
    </row>
    <row r="18">
      <c r="A18" s="94" t="str">
        <f t="shared" ref="A18:A115" si="4">G18&amp;L18&amp;N18&amp;O18</f>
        <v>LadiesL1HomeNew Dawn</v>
      </c>
      <c r="B18" s="75"/>
      <c r="C18" s="76">
        <v>5.0</v>
      </c>
      <c r="D18" s="77">
        <v>46075.0</v>
      </c>
      <c r="E18" s="78">
        <f t="shared" si="2"/>
        <v>46075</v>
      </c>
      <c r="F18" s="79">
        <v>0.7916666666666666</v>
      </c>
      <c r="G18" s="80" t="s">
        <v>34</v>
      </c>
      <c r="H18" s="80" t="s">
        <v>35</v>
      </c>
      <c r="I18" s="81">
        <v>1.0</v>
      </c>
      <c r="J18" s="82" t="s">
        <v>36</v>
      </c>
      <c r="K18" s="83" t="s">
        <v>3</v>
      </c>
      <c r="L18" s="84" t="s">
        <v>37</v>
      </c>
      <c r="M18" s="85" t="s">
        <v>28</v>
      </c>
      <c r="N18" s="86" t="s">
        <v>38</v>
      </c>
      <c r="O18" s="87" t="s">
        <v>50</v>
      </c>
      <c r="P18" s="93" t="s">
        <v>37</v>
      </c>
      <c r="Q18" s="88" t="s">
        <v>3</v>
      </c>
      <c r="R18" s="89"/>
      <c r="S18" s="90" t="s">
        <v>40</v>
      </c>
      <c r="T18" s="90" t="s">
        <v>18</v>
      </c>
      <c r="U18" s="91" t="str">
        <f t="shared" ref="U18:U115" si="5">"MP "&amp;L18&amp;" "&amp;M18&amp;" "&amp;O18&amp;" "&amp;P18</f>
        <v>MP L1 v New Dawn L1</v>
      </c>
    </row>
    <row r="19">
      <c r="A19" s="94" t="str">
        <f t="shared" si="4"/>
        <v>LadiesL1AwayNew Dawn</v>
      </c>
      <c r="B19" s="75"/>
      <c r="C19" s="92">
        <v>6.0</v>
      </c>
      <c r="D19" s="77">
        <v>45995.0</v>
      </c>
      <c r="E19" s="78">
        <f t="shared" si="2"/>
        <v>45995</v>
      </c>
      <c r="F19" s="79">
        <v>0.8333333333333334</v>
      </c>
      <c r="G19" s="80" t="s">
        <v>34</v>
      </c>
      <c r="H19" s="80" t="s">
        <v>35</v>
      </c>
      <c r="I19" s="81">
        <v>1.0</v>
      </c>
      <c r="J19" s="82" t="s">
        <v>36</v>
      </c>
      <c r="K19" s="83" t="s">
        <v>3</v>
      </c>
      <c r="L19" s="84" t="s">
        <v>37</v>
      </c>
      <c r="M19" s="85" t="s">
        <v>28</v>
      </c>
      <c r="N19" s="86" t="s">
        <v>42</v>
      </c>
      <c r="O19" s="87" t="s">
        <v>50</v>
      </c>
      <c r="P19" s="93" t="s">
        <v>37</v>
      </c>
      <c r="Q19" s="88" t="s">
        <v>51</v>
      </c>
      <c r="R19" s="89"/>
      <c r="S19" s="90" t="s">
        <v>40</v>
      </c>
      <c r="T19" s="90" t="s">
        <v>44</v>
      </c>
      <c r="U19" s="91" t="str">
        <f t="shared" si="5"/>
        <v>MP L1 v New Dawn L1</v>
      </c>
    </row>
    <row r="20">
      <c r="A20" s="94" t="str">
        <f t="shared" si="4"/>
        <v>LadiesL1HomePembroke</v>
      </c>
      <c r="B20" s="75"/>
      <c r="C20" s="76">
        <v>7.0</v>
      </c>
      <c r="D20" s="77">
        <v>46107.0</v>
      </c>
      <c r="E20" s="78">
        <f t="shared" si="2"/>
        <v>46107</v>
      </c>
      <c r="F20" s="79">
        <v>0.7916666666666666</v>
      </c>
      <c r="G20" s="80" t="s">
        <v>34</v>
      </c>
      <c r="H20" s="80" t="s">
        <v>35</v>
      </c>
      <c r="I20" s="81">
        <v>1.0</v>
      </c>
      <c r="J20" s="82" t="s">
        <v>36</v>
      </c>
      <c r="K20" s="83" t="s">
        <v>3</v>
      </c>
      <c r="L20" s="84" t="s">
        <v>37</v>
      </c>
      <c r="M20" s="85" t="s">
        <v>28</v>
      </c>
      <c r="N20" s="86" t="s">
        <v>38</v>
      </c>
      <c r="O20" s="87" t="s">
        <v>52</v>
      </c>
      <c r="P20" s="80" t="s">
        <v>37</v>
      </c>
      <c r="Q20" s="88" t="s">
        <v>3</v>
      </c>
      <c r="R20" s="89"/>
      <c r="S20" s="90" t="s">
        <v>40</v>
      </c>
      <c r="T20" s="90" t="s">
        <v>18</v>
      </c>
      <c r="U20" s="91" t="str">
        <f t="shared" si="5"/>
        <v>MP L1 v Pembroke L1</v>
      </c>
    </row>
    <row r="21">
      <c r="A21" s="94" t="str">
        <f t="shared" si="4"/>
        <v>LadiesL1AwayPembroke</v>
      </c>
      <c r="B21" s="75"/>
      <c r="C21" s="92">
        <v>8.0</v>
      </c>
      <c r="D21" s="77">
        <v>46090.0</v>
      </c>
      <c r="E21" s="78">
        <f t="shared" si="2"/>
        <v>46090</v>
      </c>
      <c r="F21" s="79">
        <v>0.8333333333333334</v>
      </c>
      <c r="G21" s="80" t="s">
        <v>34</v>
      </c>
      <c r="H21" s="80" t="s">
        <v>35</v>
      </c>
      <c r="I21" s="81">
        <v>1.0</v>
      </c>
      <c r="J21" s="82" t="s">
        <v>36</v>
      </c>
      <c r="K21" s="83" t="s">
        <v>3</v>
      </c>
      <c r="L21" s="84" t="s">
        <v>37</v>
      </c>
      <c r="M21" s="85" t="s">
        <v>28</v>
      </c>
      <c r="N21" s="87" t="s">
        <v>42</v>
      </c>
      <c r="O21" s="87" t="s">
        <v>52</v>
      </c>
      <c r="P21" s="80" t="s">
        <v>37</v>
      </c>
      <c r="Q21" s="88" t="s">
        <v>51</v>
      </c>
      <c r="R21" s="89"/>
      <c r="S21" s="90" t="s">
        <v>40</v>
      </c>
      <c r="T21" s="90" t="s">
        <v>44</v>
      </c>
      <c r="U21" s="91" t="str">
        <f t="shared" si="5"/>
        <v>MP L1 v Pembroke L1</v>
      </c>
    </row>
    <row r="22">
      <c r="A22" s="94" t="str">
        <f t="shared" si="4"/>
        <v>LadiesL2HomeAilesbury</v>
      </c>
      <c r="B22" s="75"/>
      <c r="C22" s="76">
        <v>9.0</v>
      </c>
      <c r="D22" s="77">
        <v>45996.0</v>
      </c>
      <c r="E22" s="78">
        <f t="shared" si="2"/>
        <v>45996</v>
      </c>
      <c r="F22" s="79">
        <v>0.7916666666666666</v>
      </c>
      <c r="G22" s="80" t="s">
        <v>34</v>
      </c>
      <c r="H22" s="80" t="s">
        <v>35</v>
      </c>
      <c r="I22" s="81">
        <v>1.0</v>
      </c>
      <c r="J22" s="82" t="s">
        <v>36</v>
      </c>
      <c r="K22" s="83" t="s">
        <v>3</v>
      </c>
      <c r="L22" s="84" t="s">
        <v>46</v>
      </c>
      <c r="M22" s="85" t="s">
        <v>28</v>
      </c>
      <c r="N22" s="87" t="s">
        <v>38</v>
      </c>
      <c r="O22" s="87" t="s">
        <v>39</v>
      </c>
      <c r="P22" s="80" t="s">
        <v>37</v>
      </c>
      <c r="Q22" s="88" t="s">
        <v>3</v>
      </c>
      <c r="R22" s="89"/>
      <c r="S22" s="90" t="s">
        <v>40</v>
      </c>
      <c r="T22" s="90" t="s">
        <v>41</v>
      </c>
      <c r="U22" s="91" t="str">
        <f t="shared" si="5"/>
        <v>MP L2 v Ailesbury L1</v>
      </c>
    </row>
    <row r="23">
      <c r="A23" s="94" t="str">
        <f t="shared" si="4"/>
        <v>LadiesL2AwayAilesbury</v>
      </c>
      <c r="B23" s="75"/>
      <c r="C23" s="92">
        <v>10.0</v>
      </c>
      <c r="D23" s="77">
        <v>45974.0</v>
      </c>
      <c r="E23" s="78">
        <f t="shared" si="2"/>
        <v>45974</v>
      </c>
      <c r="F23" s="79">
        <v>0.7916666666666666</v>
      </c>
      <c r="G23" s="80" t="s">
        <v>34</v>
      </c>
      <c r="H23" s="80" t="s">
        <v>35</v>
      </c>
      <c r="I23" s="81">
        <v>1.0</v>
      </c>
      <c r="J23" s="82" t="s">
        <v>36</v>
      </c>
      <c r="K23" s="83" t="s">
        <v>3</v>
      </c>
      <c r="L23" s="84" t="s">
        <v>46</v>
      </c>
      <c r="M23" s="85" t="s">
        <v>28</v>
      </c>
      <c r="N23" s="87" t="s">
        <v>42</v>
      </c>
      <c r="O23" s="87" t="s">
        <v>39</v>
      </c>
      <c r="P23" s="93" t="s">
        <v>37</v>
      </c>
      <c r="Q23" s="88" t="s">
        <v>43</v>
      </c>
      <c r="R23" s="89"/>
      <c r="S23" s="90" t="s">
        <v>47</v>
      </c>
      <c r="T23" s="90" t="s">
        <v>44</v>
      </c>
      <c r="U23" s="91" t="str">
        <f t="shared" si="5"/>
        <v>MP L2 v Ailesbury L1</v>
      </c>
    </row>
    <row r="24">
      <c r="A24" s="94" t="str">
        <f t="shared" si="4"/>
        <v>LadiesL2HomeMount Pleasant</v>
      </c>
      <c r="B24" s="75"/>
      <c r="C24" s="76">
        <v>11.0</v>
      </c>
      <c r="D24" s="77">
        <v>45977.0</v>
      </c>
      <c r="E24" s="78">
        <f t="shared" si="2"/>
        <v>45977</v>
      </c>
      <c r="F24" s="79">
        <v>0.75</v>
      </c>
      <c r="G24" s="80" t="s">
        <v>34</v>
      </c>
      <c r="H24" s="80" t="s">
        <v>35</v>
      </c>
      <c r="I24" s="81">
        <v>1.0</v>
      </c>
      <c r="J24" s="82" t="s">
        <v>36</v>
      </c>
      <c r="K24" s="83" t="s">
        <v>3</v>
      </c>
      <c r="L24" s="84" t="s">
        <v>46</v>
      </c>
      <c r="M24" s="85" t="s">
        <v>28</v>
      </c>
      <c r="N24" s="86" t="s">
        <v>38</v>
      </c>
      <c r="O24" s="87" t="s">
        <v>3</v>
      </c>
      <c r="P24" s="93" t="s">
        <v>37</v>
      </c>
      <c r="Q24" s="88" t="s">
        <v>3</v>
      </c>
      <c r="R24" s="89"/>
      <c r="S24" s="90" t="s">
        <v>47</v>
      </c>
      <c r="T24" s="73" t="s">
        <v>41</v>
      </c>
      <c r="U24" s="91" t="str">
        <f t="shared" si="5"/>
        <v>MP L2 v Mount Pleasant L1</v>
      </c>
    </row>
    <row r="25">
      <c r="A25" s="94" t="str">
        <f t="shared" si="4"/>
        <v>LadiesL2AwayMount Pleasant</v>
      </c>
      <c r="B25" s="75"/>
      <c r="C25" s="92">
        <v>12.0</v>
      </c>
      <c r="D25" s="77">
        <v>45977.0</v>
      </c>
      <c r="E25" s="78">
        <f t="shared" si="2"/>
        <v>45977</v>
      </c>
      <c r="F25" s="79">
        <v>0.75</v>
      </c>
      <c r="G25" s="80" t="s">
        <v>34</v>
      </c>
      <c r="H25" s="80" t="s">
        <v>35</v>
      </c>
      <c r="I25" s="81">
        <v>1.0</v>
      </c>
      <c r="J25" s="82" t="s">
        <v>36</v>
      </c>
      <c r="K25" s="83" t="s">
        <v>3</v>
      </c>
      <c r="L25" s="84" t="s">
        <v>46</v>
      </c>
      <c r="M25" s="85" t="s">
        <v>28</v>
      </c>
      <c r="N25" s="86" t="s">
        <v>42</v>
      </c>
      <c r="O25" s="87" t="s">
        <v>3</v>
      </c>
      <c r="P25" s="93" t="s">
        <v>37</v>
      </c>
      <c r="Q25" s="88" t="s">
        <v>3</v>
      </c>
      <c r="R25" s="89"/>
      <c r="S25" s="90" t="s">
        <v>47</v>
      </c>
      <c r="T25" s="90" t="s">
        <v>44</v>
      </c>
      <c r="U25" s="91" t="str">
        <f t="shared" si="5"/>
        <v>MP L2 v Mount Pleasant L1</v>
      </c>
    </row>
    <row r="26">
      <c r="A26" s="94" t="str">
        <f t="shared" si="4"/>
        <v>LadiesL2HomeNew Dawn</v>
      </c>
      <c r="B26" s="75"/>
      <c r="C26" s="76">
        <v>13.0</v>
      </c>
      <c r="D26" s="77">
        <v>46041.0</v>
      </c>
      <c r="E26" s="78">
        <f t="shared" si="2"/>
        <v>46041</v>
      </c>
      <c r="F26" s="79">
        <v>0.7916666666666666</v>
      </c>
      <c r="G26" s="80" t="s">
        <v>34</v>
      </c>
      <c r="H26" s="80" t="s">
        <v>35</v>
      </c>
      <c r="I26" s="81">
        <v>1.0</v>
      </c>
      <c r="J26" s="82" t="s">
        <v>36</v>
      </c>
      <c r="K26" s="83" t="s">
        <v>3</v>
      </c>
      <c r="L26" s="84" t="s">
        <v>46</v>
      </c>
      <c r="M26" s="85" t="s">
        <v>28</v>
      </c>
      <c r="N26" s="86" t="s">
        <v>38</v>
      </c>
      <c r="O26" s="87" t="s">
        <v>50</v>
      </c>
      <c r="P26" s="80" t="s">
        <v>37</v>
      </c>
      <c r="Q26" s="88" t="s">
        <v>3</v>
      </c>
      <c r="R26" s="89"/>
      <c r="S26" s="90" t="s">
        <v>40</v>
      </c>
      <c r="T26" s="90" t="s">
        <v>41</v>
      </c>
      <c r="U26" s="91" t="str">
        <f t="shared" si="5"/>
        <v>MP L2 v New Dawn L1</v>
      </c>
    </row>
    <row r="27">
      <c r="A27" s="94" t="str">
        <f t="shared" si="4"/>
        <v>LadiesL2AwayNew Dawn</v>
      </c>
      <c r="B27" s="75"/>
      <c r="C27" s="92">
        <v>14.0</v>
      </c>
      <c r="D27" s="77">
        <v>46079.0</v>
      </c>
      <c r="E27" s="78">
        <f t="shared" si="2"/>
        <v>46079</v>
      </c>
      <c r="F27" s="79">
        <v>0.8333333333333334</v>
      </c>
      <c r="G27" s="80" t="s">
        <v>34</v>
      </c>
      <c r="H27" s="80" t="s">
        <v>35</v>
      </c>
      <c r="I27" s="81">
        <v>1.0</v>
      </c>
      <c r="J27" s="82" t="s">
        <v>36</v>
      </c>
      <c r="K27" s="83" t="s">
        <v>3</v>
      </c>
      <c r="L27" s="84" t="s">
        <v>46</v>
      </c>
      <c r="M27" s="85" t="s">
        <v>28</v>
      </c>
      <c r="N27" s="87" t="s">
        <v>42</v>
      </c>
      <c r="O27" s="87" t="s">
        <v>50</v>
      </c>
      <c r="P27" s="80" t="s">
        <v>37</v>
      </c>
      <c r="Q27" s="88" t="s">
        <v>51</v>
      </c>
      <c r="R27" s="89"/>
      <c r="S27" s="90" t="s">
        <v>40</v>
      </c>
      <c r="T27" s="90" t="s">
        <v>44</v>
      </c>
      <c r="U27" s="91" t="str">
        <f t="shared" si="5"/>
        <v>MP L2 v New Dawn L1</v>
      </c>
    </row>
    <row r="28">
      <c r="A28" s="94" t="str">
        <f t="shared" si="4"/>
        <v>LadiesL2HomePembroke</v>
      </c>
      <c r="B28" s="75"/>
      <c r="C28" s="76">
        <v>15.0</v>
      </c>
      <c r="D28" s="77">
        <v>46055.0</v>
      </c>
      <c r="E28" s="78">
        <f t="shared" si="2"/>
        <v>46055</v>
      </c>
      <c r="F28" s="79">
        <v>0.7916666666666666</v>
      </c>
      <c r="G28" s="80" t="s">
        <v>34</v>
      </c>
      <c r="H28" s="80" t="s">
        <v>35</v>
      </c>
      <c r="I28" s="81">
        <v>1.0</v>
      </c>
      <c r="J28" s="82" t="s">
        <v>36</v>
      </c>
      <c r="K28" s="83" t="s">
        <v>3</v>
      </c>
      <c r="L28" s="84" t="s">
        <v>46</v>
      </c>
      <c r="M28" s="85" t="s">
        <v>28</v>
      </c>
      <c r="N28" s="87" t="s">
        <v>38</v>
      </c>
      <c r="O28" s="87" t="s">
        <v>52</v>
      </c>
      <c r="P28" s="80" t="s">
        <v>37</v>
      </c>
      <c r="Q28" s="88" t="s">
        <v>3</v>
      </c>
      <c r="R28" s="89"/>
      <c r="S28" s="90" t="s">
        <v>40</v>
      </c>
      <c r="T28" s="90" t="s">
        <v>18</v>
      </c>
      <c r="U28" s="91" t="str">
        <f t="shared" si="5"/>
        <v>MP L2 v Pembroke L1</v>
      </c>
    </row>
    <row r="29">
      <c r="A29" s="94" t="str">
        <f t="shared" si="4"/>
        <v>LadiesL2AwayPembroke</v>
      </c>
      <c r="B29" s="75"/>
      <c r="C29" s="92">
        <v>16.0</v>
      </c>
      <c r="D29" s="77">
        <v>46048.0</v>
      </c>
      <c r="E29" s="78">
        <f t="shared" si="2"/>
        <v>46048</v>
      </c>
      <c r="F29" s="79">
        <v>0.8333333333333334</v>
      </c>
      <c r="G29" s="80" t="s">
        <v>34</v>
      </c>
      <c r="H29" s="80" t="s">
        <v>35</v>
      </c>
      <c r="I29" s="81">
        <v>1.0</v>
      </c>
      <c r="J29" s="82" t="s">
        <v>36</v>
      </c>
      <c r="K29" s="83" t="s">
        <v>3</v>
      </c>
      <c r="L29" s="84" t="s">
        <v>46</v>
      </c>
      <c r="M29" s="85" t="s">
        <v>28</v>
      </c>
      <c r="N29" s="87" t="s">
        <v>42</v>
      </c>
      <c r="O29" s="87" t="s">
        <v>52</v>
      </c>
      <c r="P29" s="93" t="s">
        <v>37</v>
      </c>
      <c r="Q29" s="88" t="s">
        <v>51</v>
      </c>
      <c r="R29" s="89"/>
      <c r="S29" s="90" t="s">
        <v>40</v>
      </c>
      <c r="T29" s="90" t="s">
        <v>44</v>
      </c>
      <c r="U29" s="91" t="str">
        <f t="shared" si="5"/>
        <v>MP L2 v Pembroke L1</v>
      </c>
    </row>
    <row r="30">
      <c r="A30" s="94" t="str">
        <f t="shared" si="4"/>
        <v>LadiesL3HomeKADCA</v>
      </c>
      <c r="B30" s="75"/>
      <c r="C30" s="76">
        <v>17.0</v>
      </c>
      <c r="D30" s="77">
        <v>46055.0</v>
      </c>
      <c r="E30" s="78">
        <f t="shared" si="2"/>
        <v>46055</v>
      </c>
      <c r="F30" s="79">
        <v>0.7916666666666666</v>
      </c>
      <c r="G30" s="80" t="s">
        <v>34</v>
      </c>
      <c r="H30" s="80" t="s">
        <v>53</v>
      </c>
      <c r="I30" s="81">
        <v>2.0</v>
      </c>
      <c r="J30" s="82" t="s">
        <v>36</v>
      </c>
      <c r="K30" s="83" t="s">
        <v>3</v>
      </c>
      <c r="L30" s="84" t="s">
        <v>54</v>
      </c>
      <c r="M30" s="85" t="s">
        <v>28</v>
      </c>
      <c r="N30" s="86" t="s">
        <v>38</v>
      </c>
      <c r="O30" s="87" t="s">
        <v>55</v>
      </c>
      <c r="P30" s="93" t="s">
        <v>46</v>
      </c>
      <c r="Q30" s="88" t="s">
        <v>3</v>
      </c>
      <c r="R30" s="89"/>
      <c r="S30" s="90" t="s">
        <v>40</v>
      </c>
      <c r="T30" s="90" t="s">
        <v>18</v>
      </c>
      <c r="U30" s="91" t="str">
        <f t="shared" si="5"/>
        <v>MP L3 v KADCA L2</v>
      </c>
    </row>
    <row r="31">
      <c r="A31" s="94" t="str">
        <f t="shared" si="4"/>
        <v>LadiesL3AwayKADCA</v>
      </c>
      <c r="B31" s="75"/>
      <c r="C31" s="92">
        <v>18.0</v>
      </c>
      <c r="D31" s="77">
        <v>46000.0</v>
      </c>
      <c r="E31" s="78">
        <f t="shared" si="2"/>
        <v>46000</v>
      </c>
      <c r="F31" s="79">
        <v>0.8333333333333334</v>
      </c>
      <c r="G31" s="80" t="s">
        <v>34</v>
      </c>
      <c r="H31" s="80" t="s">
        <v>53</v>
      </c>
      <c r="I31" s="81">
        <v>2.0</v>
      </c>
      <c r="J31" s="82" t="s">
        <v>36</v>
      </c>
      <c r="K31" s="83" t="s">
        <v>3</v>
      </c>
      <c r="L31" s="84" t="s">
        <v>54</v>
      </c>
      <c r="M31" s="85" t="s">
        <v>28</v>
      </c>
      <c r="N31" s="87" t="s">
        <v>42</v>
      </c>
      <c r="O31" s="87" t="s">
        <v>55</v>
      </c>
      <c r="P31" s="93" t="s">
        <v>46</v>
      </c>
      <c r="Q31" s="88" t="s">
        <v>56</v>
      </c>
      <c r="R31" s="89"/>
      <c r="S31" s="90" t="s">
        <v>40</v>
      </c>
      <c r="T31" s="90" t="s">
        <v>44</v>
      </c>
      <c r="U31" s="91" t="str">
        <f t="shared" si="5"/>
        <v>MP L3 v KADCA L2</v>
      </c>
    </row>
    <row r="32">
      <c r="A32" s="94" t="str">
        <f t="shared" si="4"/>
        <v>LadiesL3HomeOld School</v>
      </c>
      <c r="B32" s="75"/>
      <c r="C32" s="76">
        <v>19.0</v>
      </c>
      <c r="D32" s="77">
        <v>46063.0</v>
      </c>
      <c r="E32" s="78">
        <f t="shared" si="2"/>
        <v>46063</v>
      </c>
      <c r="F32" s="79">
        <v>0.7916666666666666</v>
      </c>
      <c r="G32" s="80" t="s">
        <v>34</v>
      </c>
      <c r="H32" s="80" t="s">
        <v>53</v>
      </c>
      <c r="I32" s="81">
        <v>2.0</v>
      </c>
      <c r="J32" s="82" t="s">
        <v>36</v>
      </c>
      <c r="K32" s="83" t="s">
        <v>3</v>
      </c>
      <c r="L32" s="84" t="s">
        <v>54</v>
      </c>
      <c r="M32" s="85" t="s">
        <v>28</v>
      </c>
      <c r="N32" s="86" t="s">
        <v>38</v>
      </c>
      <c r="O32" s="87" t="s">
        <v>57</v>
      </c>
      <c r="P32" s="93" t="s">
        <v>37</v>
      </c>
      <c r="Q32" s="88" t="s">
        <v>3</v>
      </c>
      <c r="R32" s="89"/>
      <c r="S32" s="90" t="s">
        <v>40</v>
      </c>
      <c r="T32" s="90" t="s">
        <v>18</v>
      </c>
      <c r="U32" s="91" t="str">
        <f t="shared" si="5"/>
        <v>MP L3 v Old School L1</v>
      </c>
    </row>
    <row r="33">
      <c r="A33" s="94" t="str">
        <f t="shared" si="4"/>
        <v>LadiesL3AwayOld School</v>
      </c>
      <c r="B33" s="75"/>
      <c r="C33" s="92">
        <v>20.0</v>
      </c>
      <c r="D33" s="77">
        <v>46104.0</v>
      </c>
      <c r="E33" s="78">
        <f t="shared" si="2"/>
        <v>46104</v>
      </c>
      <c r="F33" s="79">
        <v>0.8333333333333334</v>
      </c>
      <c r="G33" s="80" t="s">
        <v>34</v>
      </c>
      <c r="H33" s="80" t="s">
        <v>53</v>
      </c>
      <c r="I33" s="81">
        <v>2.0</v>
      </c>
      <c r="J33" s="82" t="s">
        <v>36</v>
      </c>
      <c r="K33" s="83" t="s">
        <v>3</v>
      </c>
      <c r="L33" s="84" t="s">
        <v>54</v>
      </c>
      <c r="M33" s="85" t="s">
        <v>28</v>
      </c>
      <c r="N33" s="87" t="s">
        <v>42</v>
      </c>
      <c r="O33" s="87" t="s">
        <v>57</v>
      </c>
      <c r="P33" s="82" t="s">
        <v>37</v>
      </c>
      <c r="Q33" s="88" t="s">
        <v>51</v>
      </c>
      <c r="R33" s="89"/>
      <c r="S33" s="90" t="s">
        <v>40</v>
      </c>
      <c r="T33" s="90" t="s">
        <v>44</v>
      </c>
      <c r="U33" s="91" t="str">
        <f t="shared" si="5"/>
        <v>MP L3 v Old School L1</v>
      </c>
    </row>
    <row r="34">
      <c r="A34" s="94" t="str">
        <f t="shared" si="4"/>
        <v>LadiesL3HomeLaochra</v>
      </c>
      <c r="B34" s="75"/>
      <c r="C34" s="76">
        <v>21.0</v>
      </c>
      <c r="D34" s="77">
        <v>46056.0</v>
      </c>
      <c r="E34" s="78">
        <f t="shared" si="2"/>
        <v>46056</v>
      </c>
      <c r="F34" s="95">
        <v>0.7916666666666666</v>
      </c>
      <c r="G34" s="80" t="s">
        <v>34</v>
      </c>
      <c r="H34" s="80" t="s">
        <v>53</v>
      </c>
      <c r="I34" s="81">
        <v>2.0</v>
      </c>
      <c r="J34" s="82" t="s">
        <v>36</v>
      </c>
      <c r="K34" s="83" t="s">
        <v>3</v>
      </c>
      <c r="L34" s="84" t="s">
        <v>54</v>
      </c>
      <c r="M34" s="85" t="s">
        <v>28</v>
      </c>
      <c r="N34" s="86" t="s">
        <v>38</v>
      </c>
      <c r="O34" s="87" t="s">
        <v>58</v>
      </c>
      <c r="P34" s="82" t="s">
        <v>37</v>
      </c>
      <c r="Q34" s="88" t="s">
        <v>3</v>
      </c>
      <c r="R34" s="89"/>
      <c r="S34" s="90" t="s">
        <v>40</v>
      </c>
      <c r="T34" s="90" t="s">
        <v>41</v>
      </c>
      <c r="U34" s="91" t="str">
        <f t="shared" si="5"/>
        <v>MP L3 v Laochra L1</v>
      </c>
    </row>
    <row r="35">
      <c r="A35" s="94" t="str">
        <f t="shared" si="4"/>
        <v>LadiesL3AwayLaochra</v>
      </c>
      <c r="B35" s="75"/>
      <c r="C35" s="92">
        <v>22.0</v>
      </c>
      <c r="D35" s="77">
        <v>46089.0</v>
      </c>
      <c r="E35" s="78">
        <f t="shared" si="2"/>
        <v>46089</v>
      </c>
      <c r="F35" s="95">
        <v>0.75</v>
      </c>
      <c r="G35" s="80" t="s">
        <v>34</v>
      </c>
      <c r="H35" s="80" t="s">
        <v>53</v>
      </c>
      <c r="I35" s="81">
        <v>2.0</v>
      </c>
      <c r="J35" s="82" t="s">
        <v>36</v>
      </c>
      <c r="K35" s="83" t="s">
        <v>3</v>
      </c>
      <c r="L35" s="84" t="s">
        <v>54</v>
      </c>
      <c r="M35" s="85" t="s">
        <v>28</v>
      </c>
      <c r="N35" s="87" t="s">
        <v>42</v>
      </c>
      <c r="O35" s="87" t="s">
        <v>58</v>
      </c>
      <c r="P35" s="82" t="s">
        <v>37</v>
      </c>
      <c r="Q35" s="88" t="s">
        <v>59</v>
      </c>
      <c r="R35" s="89"/>
      <c r="S35" s="90" t="s">
        <v>40</v>
      </c>
      <c r="T35" s="90" t="s">
        <v>44</v>
      </c>
      <c r="U35" s="91" t="str">
        <f t="shared" si="5"/>
        <v>MP L3 v Laochra L1</v>
      </c>
    </row>
    <row r="36">
      <c r="A36" s="94" t="str">
        <f t="shared" si="4"/>
        <v>LadiesL4HomeESB</v>
      </c>
      <c r="B36" s="75"/>
      <c r="C36" s="76">
        <v>23.0</v>
      </c>
      <c r="D36" s="77">
        <v>45993.0</v>
      </c>
      <c r="E36" s="78">
        <f t="shared" si="2"/>
        <v>45993</v>
      </c>
      <c r="F36" s="79">
        <v>0.7916666666666666</v>
      </c>
      <c r="G36" s="80" t="s">
        <v>34</v>
      </c>
      <c r="H36" s="80" t="s">
        <v>60</v>
      </c>
      <c r="I36" s="81">
        <v>1.0</v>
      </c>
      <c r="J36" s="82" t="s">
        <v>36</v>
      </c>
      <c r="K36" s="83" t="s">
        <v>3</v>
      </c>
      <c r="L36" s="84" t="s">
        <v>61</v>
      </c>
      <c r="M36" s="85" t="s">
        <v>28</v>
      </c>
      <c r="N36" s="86" t="s">
        <v>38</v>
      </c>
      <c r="O36" s="87" t="s">
        <v>62</v>
      </c>
      <c r="P36" s="93" t="s">
        <v>37</v>
      </c>
      <c r="Q36" s="88" t="s">
        <v>3</v>
      </c>
      <c r="R36" s="89"/>
      <c r="S36" s="90" t="s">
        <v>40</v>
      </c>
      <c r="T36" s="90" t="s">
        <v>41</v>
      </c>
      <c r="U36" s="91" t="str">
        <f t="shared" si="5"/>
        <v>MP L4 v ESB L1</v>
      </c>
    </row>
    <row r="37">
      <c r="A37" s="94" t="str">
        <f t="shared" si="4"/>
        <v>LadiesL4AwayESB</v>
      </c>
      <c r="B37" s="75"/>
      <c r="C37" s="92">
        <v>24.0</v>
      </c>
      <c r="D37" s="77">
        <v>46045.0</v>
      </c>
      <c r="E37" s="78">
        <f t="shared" si="2"/>
        <v>46045</v>
      </c>
      <c r="F37" s="79">
        <v>0.7916666666666666</v>
      </c>
      <c r="G37" s="80" t="s">
        <v>34</v>
      </c>
      <c r="H37" s="80" t="s">
        <v>60</v>
      </c>
      <c r="I37" s="81">
        <v>1.0</v>
      </c>
      <c r="J37" s="82" t="s">
        <v>36</v>
      </c>
      <c r="K37" s="83" t="s">
        <v>3</v>
      </c>
      <c r="L37" s="84" t="s">
        <v>61</v>
      </c>
      <c r="M37" s="85" t="s">
        <v>28</v>
      </c>
      <c r="N37" s="86" t="s">
        <v>42</v>
      </c>
      <c r="O37" s="87" t="s">
        <v>62</v>
      </c>
      <c r="P37" s="93" t="s">
        <v>37</v>
      </c>
      <c r="Q37" s="88" t="s">
        <v>63</v>
      </c>
      <c r="R37" s="89"/>
      <c r="S37" s="90" t="s">
        <v>40</v>
      </c>
      <c r="T37" s="90" t="s">
        <v>44</v>
      </c>
      <c r="U37" s="91" t="str">
        <f t="shared" si="5"/>
        <v>MP L4 v ESB L1</v>
      </c>
    </row>
    <row r="38">
      <c r="A38" s="94" t="str">
        <f t="shared" si="4"/>
        <v>LadiesL4HomeNavan</v>
      </c>
      <c r="B38" s="75"/>
      <c r="C38" s="76">
        <v>25.0</v>
      </c>
      <c r="D38" s="77">
        <v>46070.0</v>
      </c>
      <c r="E38" s="78">
        <f t="shared" si="2"/>
        <v>46070</v>
      </c>
      <c r="F38" s="79">
        <v>0.7916666666666666</v>
      </c>
      <c r="G38" s="80" t="s">
        <v>34</v>
      </c>
      <c r="H38" s="80" t="s">
        <v>60</v>
      </c>
      <c r="I38" s="81">
        <v>1.0</v>
      </c>
      <c r="J38" s="82" t="s">
        <v>36</v>
      </c>
      <c r="K38" s="83" t="s">
        <v>3</v>
      </c>
      <c r="L38" s="84" t="s">
        <v>61</v>
      </c>
      <c r="M38" s="85" t="s">
        <v>28</v>
      </c>
      <c r="N38" s="86" t="s">
        <v>38</v>
      </c>
      <c r="O38" s="87" t="s">
        <v>64</v>
      </c>
      <c r="P38" s="93" t="s">
        <v>37</v>
      </c>
      <c r="Q38" s="88" t="s">
        <v>3</v>
      </c>
      <c r="R38" s="89"/>
      <c r="S38" s="90" t="s">
        <v>40</v>
      </c>
      <c r="T38" s="90" t="s">
        <v>18</v>
      </c>
      <c r="U38" s="91" t="str">
        <f t="shared" si="5"/>
        <v>MP L4 v Navan L1</v>
      </c>
    </row>
    <row r="39">
      <c r="A39" s="94" t="str">
        <f t="shared" si="4"/>
        <v>LadiesL4AwayNavan</v>
      </c>
      <c r="B39" s="75"/>
      <c r="C39" s="92">
        <v>26.0</v>
      </c>
      <c r="D39" s="77">
        <v>45999.0</v>
      </c>
      <c r="E39" s="78">
        <f t="shared" si="2"/>
        <v>45999</v>
      </c>
      <c r="F39" s="79">
        <v>0.8541666666666666</v>
      </c>
      <c r="G39" s="80" t="s">
        <v>34</v>
      </c>
      <c r="H39" s="80" t="s">
        <v>60</v>
      </c>
      <c r="I39" s="81">
        <v>1.0</v>
      </c>
      <c r="J39" s="82" t="s">
        <v>36</v>
      </c>
      <c r="K39" s="83" t="s">
        <v>3</v>
      </c>
      <c r="L39" s="84" t="s">
        <v>61</v>
      </c>
      <c r="M39" s="85" t="s">
        <v>28</v>
      </c>
      <c r="N39" s="86" t="s">
        <v>42</v>
      </c>
      <c r="O39" s="87" t="s">
        <v>64</v>
      </c>
      <c r="P39" s="93" t="s">
        <v>37</v>
      </c>
      <c r="Q39" s="88" t="s">
        <v>64</v>
      </c>
      <c r="R39" s="89"/>
      <c r="S39" s="90" t="s">
        <v>40</v>
      </c>
      <c r="T39" s="90" t="s">
        <v>44</v>
      </c>
      <c r="U39" s="91" t="str">
        <f t="shared" si="5"/>
        <v>MP L4 v Navan L1</v>
      </c>
    </row>
    <row r="40">
      <c r="A40" s="94" t="str">
        <f t="shared" si="4"/>
        <v>LadiesL4HomePSLC</v>
      </c>
      <c r="B40" s="75"/>
      <c r="C40" s="76">
        <v>27.0</v>
      </c>
      <c r="D40" s="77">
        <v>46042.0</v>
      </c>
      <c r="E40" s="78">
        <f t="shared" si="2"/>
        <v>46042</v>
      </c>
      <c r="F40" s="79">
        <v>0.7916666666666666</v>
      </c>
      <c r="G40" s="80" t="s">
        <v>34</v>
      </c>
      <c r="H40" s="80" t="s">
        <v>60</v>
      </c>
      <c r="I40" s="81">
        <v>1.0</v>
      </c>
      <c r="J40" s="82" t="s">
        <v>36</v>
      </c>
      <c r="K40" s="83" t="s">
        <v>3</v>
      </c>
      <c r="L40" s="84" t="s">
        <v>61</v>
      </c>
      <c r="M40" s="85" t="s">
        <v>28</v>
      </c>
      <c r="N40" s="87" t="s">
        <v>38</v>
      </c>
      <c r="O40" s="87" t="s">
        <v>65</v>
      </c>
      <c r="P40" s="80" t="s">
        <v>37</v>
      </c>
      <c r="Q40" s="88" t="s">
        <v>3</v>
      </c>
      <c r="R40" s="89"/>
      <c r="S40" s="90" t="s">
        <v>40</v>
      </c>
      <c r="T40" s="90" t="s">
        <v>18</v>
      </c>
      <c r="U40" s="91" t="str">
        <f t="shared" si="5"/>
        <v>MP L4 v PSLC L1</v>
      </c>
    </row>
    <row r="41">
      <c r="A41" s="94" t="str">
        <f t="shared" si="4"/>
        <v>LadiesL4AwayPSLC</v>
      </c>
      <c r="B41" s="75"/>
      <c r="C41" s="92">
        <v>28.0</v>
      </c>
      <c r="D41" s="77">
        <v>46068.0</v>
      </c>
      <c r="E41" s="78">
        <f t="shared" si="2"/>
        <v>46068</v>
      </c>
      <c r="F41" s="79">
        <v>0.7708333333333334</v>
      </c>
      <c r="G41" s="80" t="s">
        <v>34</v>
      </c>
      <c r="H41" s="80" t="s">
        <v>60</v>
      </c>
      <c r="I41" s="81">
        <v>1.0</v>
      </c>
      <c r="J41" s="82" t="s">
        <v>36</v>
      </c>
      <c r="K41" s="83" t="s">
        <v>3</v>
      </c>
      <c r="L41" s="84" t="s">
        <v>61</v>
      </c>
      <c r="M41" s="85" t="s">
        <v>28</v>
      </c>
      <c r="N41" s="87" t="s">
        <v>42</v>
      </c>
      <c r="O41" s="87" t="s">
        <v>65</v>
      </c>
      <c r="P41" s="80" t="s">
        <v>37</v>
      </c>
      <c r="Q41" s="88" t="s">
        <v>66</v>
      </c>
      <c r="R41" s="89"/>
      <c r="S41" s="90" t="s">
        <v>40</v>
      </c>
      <c r="T41" s="90" t="s">
        <v>44</v>
      </c>
      <c r="U41" s="91" t="str">
        <f t="shared" si="5"/>
        <v>MP L4 v PSLC L1</v>
      </c>
    </row>
    <row r="42">
      <c r="A42" s="94" t="str">
        <f t="shared" si="4"/>
        <v>LadiesL4HomeU.C.D.</v>
      </c>
      <c r="B42" s="75"/>
      <c r="C42" s="76">
        <v>29.0</v>
      </c>
      <c r="D42" s="77">
        <v>46087.0</v>
      </c>
      <c r="E42" s="78">
        <f t="shared" si="2"/>
        <v>46087</v>
      </c>
      <c r="F42" s="79">
        <v>0.7916666666666666</v>
      </c>
      <c r="G42" s="80" t="s">
        <v>34</v>
      </c>
      <c r="H42" s="80" t="s">
        <v>60</v>
      </c>
      <c r="I42" s="81">
        <v>1.0</v>
      </c>
      <c r="J42" s="82" t="s">
        <v>36</v>
      </c>
      <c r="K42" s="83" t="s">
        <v>3</v>
      </c>
      <c r="L42" s="84" t="s">
        <v>61</v>
      </c>
      <c r="M42" s="85" t="s">
        <v>28</v>
      </c>
      <c r="N42" s="87" t="s">
        <v>38</v>
      </c>
      <c r="O42" s="87" t="s">
        <v>67</v>
      </c>
      <c r="P42" s="96" t="s">
        <v>37</v>
      </c>
      <c r="Q42" s="88" t="s">
        <v>3</v>
      </c>
      <c r="R42" s="89"/>
      <c r="S42" s="90" t="s">
        <v>40</v>
      </c>
      <c r="T42" s="90" t="s">
        <v>18</v>
      </c>
      <c r="U42" s="91" t="str">
        <f t="shared" si="5"/>
        <v>MP L4 v U.C.D. L1</v>
      </c>
    </row>
    <row r="43">
      <c r="A43" s="94" t="str">
        <f t="shared" si="4"/>
        <v>LadiesL4AwayU.C.D.</v>
      </c>
      <c r="B43" s="75"/>
      <c r="C43" s="92">
        <v>30.0</v>
      </c>
      <c r="D43" s="77">
        <v>45979.0</v>
      </c>
      <c r="E43" s="78">
        <f t="shared" si="2"/>
        <v>45979</v>
      </c>
      <c r="F43" s="79">
        <v>0.8333333333333334</v>
      </c>
      <c r="G43" s="80" t="s">
        <v>34</v>
      </c>
      <c r="H43" s="80" t="s">
        <v>60</v>
      </c>
      <c r="I43" s="81">
        <v>1.0</v>
      </c>
      <c r="J43" s="82" t="s">
        <v>36</v>
      </c>
      <c r="K43" s="83" t="s">
        <v>3</v>
      </c>
      <c r="L43" s="84" t="s">
        <v>61</v>
      </c>
      <c r="M43" s="85" t="s">
        <v>28</v>
      </c>
      <c r="N43" s="87" t="s">
        <v>42</v>
      </c>
      <c r="O43" s="87" t="s">
        <v>67</v>
      </c>
      <c r="P43" s="96" t="s">
        <v>37</v>
      </c>
      <c r="Q43" s="88" t="s">
        <v>68</v>
      </c>
      <c r="R43" s="89"/>
      <c r="S43" s="90" t="s">
        <v>40</v>
      </c>
      <c r="T43" s="90" t="s">
        <v>44</v>
      </c>
      <c r="U43" s="91" t="str">
        <f t="shared" si="5"/>
        <v>MP L4 v U.C.D. L1</v>
      </c>
    </row>
    <row r="44">
      <c r="A44" s="94" t="str">
        <f t="shared" si="4"/>
        <v>LadiesL5HomeHotshots</v>
      </c>
      <c r="B44" s="75"/>
      <c r="C44" s="76">
        <v>31.0</v>
      </c>
      <c r="D44" s="77">
        <v>45990.0</v>
      </c>
      <c r="E44" s="78">
        <f t="shared" si="2"/>
        <v>45990</v>
      </c>
      <c r="F44" s="79">
        <v>0.7916666666666666</v>
      </c>
      <c r="G44" s="80" t="s">
        <v>34</v>
      </c>
      <c r="H44" s="80" t="s">
        <v>69</v>
      </c>
      <c r="I44" s="81">
        <v>1.0</v>
      </c>
      <c r="J44" s="82" t="s">
        <v>36</v>
      </c>
      <c r="K44" s="83" t="s">
        <v>3</v>
      </c>
      <c r="L44" s="84" t="s">
        <v>70</v>
      </c>
      <c r="M44" s="85" t="s">
        <v>28</v>
      </c>
      <c r="N44" s="87" t="s">
        <v>38</v>
      </c>
      <c r="O44" s="87" t="s">
        <v>71</v>
      </c>
      <c r="P44" s="93" t="s">
        <v>37</v>
      </c>
      <c r="Q44" s="88" t="s">
        <v>3</v>
      </c>
      <c r="R44" s="89"/>
      <c r="S44" s="90" t="s">
        <v>40</v>
      </c>
      <c r="T44" s="90" t="s">
        <v>41</v>
      </c>
      <c r="U44" s="91" t="str">
        <f t="shared" si="5"/>
        <v>MP L5 v Hotshots L1</v>
      </c>
    </row>
    <row r="45">
      <c r="A45" s="94" t="str">
        <f t="shared" si="4"/>
        <v>LadiesL5AwayHotshots</v>
      </c>
      <c r="B45" s="75"/>
      <c r="C45" s="92">
        <v>32.0</v>
      </c>
      <c r="D45" s="77">
        <v>46046.0</v>
      </c>
      <c r="E45" s="78">
        <f t="shared" si="2"/>
        <v>46046</v>
      </c>
      <c r="F45" s="79">
        <v>0.5</v>
      </c>
      <c r="G45" s="80" t="s">
        <v>34</v>
      </c>
      <c r="H45" s="80" t="s">
        <v>69</v>
      </c>
      <c r="I45" s="81">
        <v>1.0</v>
      </c>
      <c r="J45" s="82" t="s">
        <v>36</v>
      </c>
      <c r="K45" s="83" t="s">
        <v>3</v>
      </c>
      <c r="L45" s="84" t="s">
        <v>70</v>
      </c>
      <c r="M45" s="85" t="s">
        <v>28</v>
      </c>
      <c r="N45" s="87" t="s">
        <v>42</v>
      </c>
      <c r="O45" s="87" t="s">
        <v>71</v>
      </c>
      <c r="P45" s="93" t="s">
        <v>37</v>
      </c>
      <c r="Q45" s="88" t="s">
        <v>72</v>
      </c>
      <c r="R45" s="89"/>
      <c r="S45" s="90" t="s">
        <v>40</v>
      </c>
      <c r="T45" s="90" t="s">
        <v>44</v>
      </c>
      <c r="U45" s="91" t="str">
        <f t="shared" si="5"/>
        <v>MP L5 v Hotshots L1</v>
      </c>
    </row>
    <row r="46">
      <c r="A46" s="74" t="str">
        <f t="shared" si="4"/>
        <v>LadiesL5HomeSouth Dublin</v>
      </c>
      <c r="B46" s="75"/>
      <c r="C46" s="76">
        <v>33.0</v>
      </c>
      <c r="D46" s="77">
        <v>46034.0</v>
      </c>
      <c r="E46" s="78">
        <f t="shared" si="2"/>
        <v>46034</v>
      </c>
      <c r="F46" s="79">
        <v>0.7916666666666666</v>
      </c>
      <c r="G46" s="80" t="s">
        <v>34</v>
      </c>
      <c r="H46" s="80" t="s">
        <v>69</v>
      </c>
      <c r="I46" s="81">
        <v>1.0</v>
      </c>
      <c r="J46" s="82" t="s">
        <v>36</v>
      </c>
      <c r="K46" s="83" t="s">
        <v>3</v>
      </c>
      <c r="L46" s="84" t="s">
        <v>70</v>
      </c>
      <c r="M46" s="85" t="s">
        <v>28</v>
      </c>
      <c r="N46" s="86" t="s">
        <v>38</v>
      </c>
      <c r="O46" s="87" t="s">
        <v>73</v>
      </c>
      <c r="P46" s="80" t="s">
        <v>54</v>
      </c>
      <c r="Q46" s="88" t="s">
        <v>3</v>
      </c>
      <c r="R46" s="89"/>
      <c r="S46" s="90" t="s">
        <v>40</v>
      </c>
      <c r="T46" s="90" t="s">
        <v>41</v>
      </c>
      <c r="U46" s="91" t="str">
        <f t="shared" si="5"/>
        <v>MP L5 v South Dublin L3</v>
      </c>
    </row>
    <row r="47">
      <c r="A47" s="94" t="str">
        <f t="shared" si="4"/>
        <v>LadiesL5AwaySouth Dublin</v>
      </c>
      <c r="B47" s="75"/>
      <c r="C47" s="92">
        <v>34.0</v>
      </c>
      <c r="D47" s="77">
        <v>45986.0</v>
      </c>
      <c r="E47" s="78">
        <f t="shared" si="2"/>
        <v>45986</v>
      </c>
      <c r="F47" s="79">
        <v>0.8333333333333334</v>
      </c>
      <c r="G47" s="80" t="s">
        <v>34</v>
      </c>
      <c r="H47" s="80" t="s">
        <v>69</v>
      </c>
      <c r="I47" s="81">
        <v>1.0</v>
      </c>
      <c r="J47" s="82" t="s">
        <v>36</v>
      </c>
      <c r="K47" s="83" t="s">
        <v>3</v>
      </c>
      <c r="L47" s="84" t="s">
        <v>70</v>
      </c>
      <c r="M47" s="85" t="s">
        <v>28</v>
      </c>
      <c r="N47" s="87" t="s">
        <v>42</v>
      </c>
      <c r="O47" s="87" t="s">
        <v>73</v>
      </c>
      <c r="P47" s="80" t="s">
        <v>54</v>
      </c>
      <c r="Q47" s="88" t="s">
        <v>51</v>
      </c>
      <c r="R47" s="89"/>
      <c r="S47" s="90" t="s">
        <v>40</v>
      </c>
      <c r="T47" s="90" t="s">
        <v>44</v>
      </c>
      <c r="U47" s="91" t="str">
        <f t="shared" si="5"/>
        <v>MP L5 v South Dublin L3</v>
      </c>
    </row>
    <row r="48">
      <c r="A48" s="94" t="str">
        <f t="shared" si="4"/>
        <v>LadiesL5HomeSt. Brigids</v>
      </c>
      <c r="B48" s="75"/>
      <c r="C48" s="76">
        <v>35.0</v>
      </c>
      <c r="D48" s="77">
        <v>46027.0</v>
      </c>
      <c r="E48" s="78">
        <f t="shared" si="2"/>
        <v>46027</v>
      </c>
      <c r="F48" s="97">
        <v>0.7916666666666666</v>
      </c>
      <c r="G48" s="80" t="s">
        <v>34</v>
      </c>
      <c r="H48" s="80" t="s">
        <v>69</v>
      </c>
      <c r="I48" s="81">
        <v>1.0</v>
      </c>
      <c r="J48" s="82" t="s">
        <v>36</v>
      </c>
      <c r="K48" s="83" t="s">
        <v>3</v>
      </c>
      <c r="L48" s="84" t="s">
        <v>70</v>
      </c>
      <c r="M48" s="85" t="s">
        <v>28</v>
      </c>
      <c r="N48" s="87" t="s">
        <v>38</v>
      </c>
      <c r="O48" s="87" t="s">
        <v>74</v>
      </c>
      <c r="P48" s="80" t="s">
        <v>37</v>
      </c>
      <c r="Q48" s="88" t="s">
        <v>3</v>
      </c>
      <c r="R48" s="89"/>
      <c r="S48" s="90" t="s">
        <v>40</v>
      </c>
      <c r="T48" s="90" t="s">
        <v>41</v>
      </c>
      <c r="U48" s="91" t="str">
        <f t="shared" si="5"/>
        <v>MP L5 v St. Brigids L1</v>
      </c>
    </row>
    <row r="49">
      <c r="A49" s="94" t="str">
        <f t="shared" si="4"/>
        <v>LadiesL5AwaySt. Brigids</v>
      </c>
      <c r="B49" s="75"/>
      <c r="C49" s="92">
        <v>36.0</v>
      </c>
      <c r="D49" s="77">
        <v>46084.0</v>
      </c>
      <c r="E49" s="78">
        <f t="shared" si="2"/>
        <v>46084</v>
      </c>
      <c r="F49" s="97">
        <v>0.7916666666666666</v>
      </c>
      <c r="G49" s="80" t="s">
        <v>34</v>
      </c>
      <c r="H49" s="80" t="s">
        <v>69</v>
      </c>
      <c r="I49" s="81">
        <v>1.0</v>
      </c>
      <c r="J49" s="82" t="s">
        <v>36</v>
      </c>
      <c r="K49" s="83" t="s">
        <v>3</v>
      </c>
      <c r="L49" s="84" t="s">
        <v>70</v>
      </c>
      <c r="M49" s="85" t="s">
        <v>28</v>
      </c>
      <c r="N49" s="87" t="s">
        <v>42</v>
      </c>
      <c r="O49" s="87" t="s">
        <v>74</v>
      </c>
      <c r="P49" s="93" t="s">
        <v>37</v>
      </c>
      <c r="Q49" s="88" t="s">
        <v>75</v>
      </c>
      <c r="R49" s="89"/>
      <c r="S49" s="90" t="s">
        <v>40</v>
      </c>
      <c r="T49" s="90" t="s">
        <v>44</v>
      </c>
      <c r="U49" s="91" t="str">
        <f t="shared" si="5"/>
        <v>MP L5 v St. Brigids L1</v>
      </c>
    </row>
    <row r="50">
      <c r="A50" s="94" t="str">
        <f t="shared" si="4"/>
        <v>LadiesL5HomeSwords BC</v>
      </c>
      <c r="B50" s="75"/>
      <c r="C50" s="76">
        <v>37.0</v>
      </c>
      <c r="D50" s="77">
        <v>46049.0</v>
      </c>
      <c r="E50" s="78">
        <f t="shared" si="2"/>
        <v>46049</v>
      </c>
      <c r="F50" s="79">
        <v>0.8333333333333334</v>
      </c>
      <c r="G50" s="80" t="s">
        <v>34</v>
      </c>
      <c r="H50" s="80" t="s">
        <v>69</v>
      </c>
      <c r="I50" s="81">
        <v>1.0</v>
      </c>
      <c r="J50" s="82" t="s">
        <v>36</v>
      </c>
      <c r="K50" s="83" t="s">
        <v>3</v>
      </c>
      <c r="L50" s="84" t="s">
        <v>70</v>
      </c>
      <c r="M50" s="85" t="s">
        <v>28</v>
      </c>
      <c r="N50" s="86" t="s">
        <v>38</v>
      </c>
      <c r="O50" s="87" t="s">
        <v>76</v>
      </c>
      <c r="P50" s="93" t="s">
        <v>37</v>
      </c>
      <c r="Q50" s="88" t="s">
        <v>3</v>
      </c>
      <c r="R50" s="89"/>
      <c r="S50" s="90" t="s">
        <v>40</v>
      </c>
      <c r="T50" s="90" t="s">
        <v>18</v>
      </c>
      <c r="U50" s="91" t="str">
        <f t="shared" si="5"/>
        <v>MP L5 v Swords BC L1</v>
      </c>
    </row>
    <row r="51">
      <c r="A51" s="94" t="str">
        <f t="shared" si="4"/>
        <v>LadiesL5AwaySwords BC</v>
      </c>
      <c r="B51" s="75"/>
      <c r="C51" s="92">
        <v>38.0</v>
      </c>
      <c r="D51" s="77">
        <v>46079.0</v>
      </c>
      <c r="E51" s="78">
        <f t="shared" si="2"/>
        <v>46079</v>
      </c>
      <c r="F51" s="79">
        <v>0.8333333333333334</v>
      </c>
      <c r="G51" s="80" t="s">
        <v>34</v>
      </c>
      <c r="H51" s="80" t="s">
        <v>69</v>
      </c>
      <c r="I51" s="81">
        <v>1.0</v>
      </c>
      <c r="J51" s="82" t="s">
        <v>36</v>
      </c>
      <c r="K51" s="83" t="s">
        <v>3</v>
      </c>
      <c r="L51" s="84" t="s">
        <v>70</v>
      </c>
      <c r="M51" s="85" t="s">
        <v>28</v>
      </c>
      <c r="N51" s="86" t="s">
        <v>42</v>
      </c>
      <c r="O51" s="87" t="s">
        <v>76</v>
      </c>
      <c r="P51" s="93" t="s">
        <v>37</v>
      </c>
      <c r="Q51" s="88" t="s">
        <v>77</v>
      </c>
      <c r="R51" s="89"/>
      <c r="S51" s="90" t="s">
        <v>40</v>
      </c>
      <c r="T51" s="90" t="s">
        <v>44</v>
      </c>
      <c r="U51" s="91" t="str">
        <f t="shared" si="5"/>
        <v>MP L5 v Swords BC L1</v>
      </c>
    </row>
    <row r="52">
      <c r="A52" s="94" t="str">
        <f t="shared" si="4"/>
        <v>MensM1HomeKADCA</v>
      </c>
      <c r="B52" s="75"/>
      <c r="C52" s="76">
        <v>39.0</v>
      </c>
      <c r="D52" s="77">
        <v>45974.0</v>
      </c>
      <c r="E52" s="78">
        <f t="shared" si="2"/>
        <v>45974</v>
      </c>
      <c r="F52" s="79">
        <v>0.875</v>
      </c>
      <c r="G52" s="80" t="s">
        <v>78</v>
      </c>
      <c r="H52" s="80" t="s">
        <v>35</v>
      </c>
      <c r="I52" s="81">
        <v>2.0</v>
      </c>
      <c r="J52" s="82" t="s">
        <v>36</v>
      </c>
      <c r="K52" s="83" t="s">
        <v>3</v>
      </c>
      <c r="L52" s="84" t="s">
        <v>79</v>
      </c>
      <c r="M52" s="85" t="s">
        <v>28</v>
      </c>
      <c r="N52" s="86" t="s">
        <v>38</v>
      </c>
      <c r="O52" s="87" t="s">
        <v>55</v>
      </c>
      <c r="P52" s="80" t="s">
        <v>80</v>
      </c>
      <c r="Q52" s="88" t="s">
        <v>3</v>
      </c>
      <c r="R52" s="89"/>
      <c r="S52" s="90" t="s">
        <v>40</v>
      </c>
      <c r="T52" s="90" t="s">
        <v>41</v>
      </c>
      <c r="U52" s="91" t="str">
        <f t="shared" si="5"/>
        <v>MP M1 v KADCA M2</v>
      </c>
    </row>
    <row r="53">
      <c r="A53" s="94" t="str">
        <f t="shared" si="4"/>
        <v>MensM1AwayKADCA</v>
      </c>
      <c r="B53" s="75"/>
      <c r="C53" s="92">
        <v>40.0</v>
      </c>
      <c r="D53" s="77">
        <v>46065.0</v>
      </c>
      <c r="E53" s="78">
        <f t="shared" si="2"/>
        <v>46065</v>
      </c>
      <c r="F53" s="79">
        <v>0.875</v>
      </c>
      <c r="G53" s="80" t="s">
        <v>78</v>
      </c>
      <c r="H53" s="80" t="s">
        <v>35</v>
      </c>
      <c r="I53" s="81">
        <v>2.0</v>
      </c>
      <c r="J53" s="82" t="s">
        <v>36</v>
      </c>
      <c r="K53" s="83" t="s">
        <v>3</v>
      </c>
      <c r="L53" s="84" t="s">
        <v>79</v>
      </c>
      <c r="M53" s="85" t="s">
        <v>28</v>
      </c>
      <c r="N53" s="87" t="s">
        <v>42</v>
      </c>
      <c r="O53" s="87" t="s">
        <v>55</v>
      </c>
      <c r="P53" s="80" t="s">
        <v>80</v>
      </c>
      <c r="Q53" s="88" t="s">
        <v>56</v>
      </c>
      <c r="R53" s="89"/>
      <c r="S53" s="90" t="s">
        <v>40</v>
      </c>
      <c r="T53" s="90" t="s">
        <v>44</v>
      </c>
      <c r="U53" s="91" t="str">
        <f t="shared" si="5"/>
        <v>MP M1 v KADCA M2</v>
      </c>
    </row>
    <row r="54">
      <c r="A54" s="74" t="str">
        <f t="shared" si="4"/>
        <v>MensM1HomeAilesbury</v>
      </c>
      <c r="B54" s="75"/>
      <c r="C54" s="76">
        <v>41.0</v>
      </c>
      <c r="D54" s="77">
        <v>46069.0</v>
      </c>
      <c r="E54" s="78">
        <f t="shared" si="2"/>
        <v>46069</v>
      </c>
      <c r="F54" s="79">
        <v>0.7916666666666666</v>
      </c>
      <c r="G54" s="80" t="s">
        <v>78</v>
      </c>
      <c r="H54" s="80" t="s">
        <v>35</v>
      </c>
      <c r="I54" s="81">
        <v>2.0</v>
      </c>
      <c r="J54" s="82" t="s">
        <v>36</v>
      </c>
      <c r="K54" s="83" t="s">
        <v>3</v>
      </c>
      <c r="L54" s="84" t="s">
        <v>79</v>
      </c>
      <c r="M54" s="85" t="s">
        <v>28</v>
      </c>
      <c r="N54" s="87" t="s">
        <v>38</v>
      </c>
      <c r="O54" s="87" t="s">
        <v>39</v>
      </c>
      <c r="P54" s="80" t="s">
        <v>79</v>
      </c>
      <c r="Q54" s="88" t="s">
        <v>3</v>
      </c>
      <c r="R54" s="89"/>
      <c r="S54" s="90" t="s">
        <v>40</v>
      </c>
      <c r="T54" s="90" t="s">
        <v>18</v>
      </c>
      <c r="U54" s="91" t="str">
        <f t="shared" si="5"/>
        <v>MP M1 v Ailesbury M1</v>
      </c>
    </row>
    <row r="55">
      <c r="A55" s="94" t="str">
        <f t="shared" si="4"/>
        <v>MensM1AwayAilesbury</v>
      </c>
      <c r="B55" s="75"/>
      <c r="C55" s="92">
        <v>42.0</v>
      </c>
      <c r="D55" s="77">
        <v>46044.0</v>
      </c>
      <c r="E55" s="78">
        <f t="shared" si="2"/>
        <v>46044</v>
      </c>
      <c r="F55" s="79">
        <v>0.7916666666666666</v>
      </c>
      <c r="G55" s="80" t="s">
        <v>78</v>
      </c>
      <c r="H55" s="80" t="s">
        <v>35</v>
      </c>
      <c r="I55" s="81">
        <v>2.0</v>
      </c>
      <c r="J55" s="82" t="s">
        <v>36</v>
      </c>
      <c r="K55" s="83" t="s">
        <v>3</v>
      </c>
      <c r="L55" s="84" t="s">
        <v>79</v>
      </c>
      <c r="M55" s="85" t="s">
        <v>28</v>
      </c>
      <c r="N55" s="87" t="s">
        <v>42</v>
      </c>
      <c r="O55" s="87" t="s">
        <v>39</v>
      </c>
      <c r="P55" s="80" t="s">
        <v>79</v>
      </c>
      <c r="Q55" s="88" t="s">
        <v>43</v>
      </c>
      <c r="R55" s="89"/>
      <c r="S55" s="90" t="s">
        <v>40</v>
      </c>
      <c r="T55" s="90" t="s">
        <v>44</v>
      </c>
      <c r="U55" s="91" t="str">
        <f t="shared" si="5"/>
        <v>MP M1 v Ailesbury M1</v>
      </c>
    </row>
    <row r="56">
      <c r="A56" s="94" t="str">
        <f t="shared" si="4"/>
        <v>MensM1HomePembroke</v>
      </c>
      <c r="B56" s="75"/>
      <c r="C56" s="76">
        <v>43.0</v>
      </c>
      <c r="D56" s="77">
        <v>45967.0</v>
      </c>
      <c r="E56" s="78">
        <f t="shared" si="2"/>
        <v>45967</v>
      </c>
      <c r="F56" s="79">
        <v>0.7916666666666666</v>
      </c>
      <c r="G56" s="80" t="s">
        <v>78</v>
      </c>
      <c r="H56" s="80" t="s">
        <v>35</v>
      </c>
      <c r="I56" s="81">
        <v>2.0</v>
      </c>
      <c r="J56" s="82" t="s">
        <v>36</v>
      </c>
      <c r="K56" s="83" t="s">
        <v>3</v>
      </c>
      <c r="L56" s="84" t="s">
        <v>79</v>
      </c>
      <c r="M56" s="85" t="s">
        <v>28</v>
      </c>
      <c r="N56" s="86" t="s">
        <v>38</v>
      </c>
      <c r="O56" s="87" t="s">
        <v>52</v>
      </c>
      <c r="P56" s="93" t="s">
        <v>79</v>
      </c>
      <c r="Q56" s="88" t="s">
        <v>3</v>
      </c>
      <c r="R56" s="89"/>
      <c r="S56" s="90" t="s">
        <v>47</v>
      </c>
      <c r="T56" s="90" t="s">
        <v>41</v>
      </c>
      <c r="U56" s="91" t="str">
        <f t="shared" si="5"/>
        <v>MP M1 v Pembroke M1</v>
      </c>
    </row>
    <row r="57">
      <c r="A57" s="94" t="str">
        <f t="shared" si="4"/>
        <v>MensM1AwayPembroke</v>
      </c>
      <c r="B57" s="75"/>
      <c r="C57" s="92">
        <v>44.0</v>
      </c>
      <c r="D57" s="77">
        <v>45985.0</v>
      </c>
      <c r="E57" s="78">
        <f t="shared" si="2"/>
        <v>45985</v>
      </c>
      <c r="F57" s="79">
        <v>0.8333333333333334</v>
      </c>
      <c r="G57" s="80" t="s">
        <v>78</v>
      </c>
      <c r="H57" s="80" t="s">
        <v>35</v>
      </c>
      <c r="I57" s="81">
        <v>2.0</v>
      </c>
      <c r="J57" s="82" t="s">
        <v>36</v>
      </c>
      <c r="K57" s="83" t="s">
        <v>3</v>
      </c>
      <c r="L57" s="84" t="s">
        <v>79</v>
      </c>
      <c r="M57" s="85" t="s">
        <v>28</v>
      </c>
      <c r="N57" s="86" t="s">
        <v>42</v>
      </c>
      <c r="O57" s="87" t="s">
        <v>52</v>
      </c>
      <c r="P57" s="93" t="s">
        <v>79</v>
      </c>
      <c r="Q57" s="88" t="s">
        <v>51</v>
      </c>
      <c r="R57" s="89"/>
      <c r="S57" s="90" t="s">
        <v>40</v>
      </c>
      <c r="T57" s="90" t="s">
        <v>44</v>
      </c>
      <c r="U57" s="91" t="str">
        <f t="shared" si="5"/>
        <v>MP M1 v Pembroke M1</v>
      </c>
    </row>
    <row r="58">
      <c r="A58" s="94" t="str">
        <f t="shared" si="4"/>
        <v>MensM2HomeKADCA</v>
      </c>
      <c r="B58" s="75"/>
      <c r="C58" s="76">
        <v>45.0</v>
      </c>
      <c r="D58" s="77">
        <v>45965.0</v>
      </c>
      <c r="E58" s="78">
        <f t="shared" si="2"/>
        <v>45965</v>
      </c>
      <c r="F58" s="79">
        <v>0.875</v>
      </c>
      <c r="G58" s="80" t="s">
        <v>78</v>
      </c>
      <c r="H58" s="80" t="s">
        <v>35</v>
      </c>
      <c r="I58" s="81">
        <v>1.0</v>
      </c>
      <c r="J58" s="82" t="s">
        <v>36</v>
      </c>
      <c r="K58" s="83" t="s">
        <v>3</v>
      </c>
      <c r="L58" s="84" t="s">
        <v>80</v>
      </c>
      <c r="M58" s="85" t="s">
        <v>28</v>
      </c>
      <c r="N58" s="86" t="s">
        <v>38</v>
      </c>
      <c r="O58" s="87" t="s">
        <v>55</v>
      </c>
      <c r="P58" s="80" t="s">
        <v>79</v>
      </c>
      <c r="Q58" s="88" t="s">
        <v>3</v>
      </c>
      <c r="R58" s="89"/>
      <c r="S58" s="90" t="s">
        <v>47</v>
      </c>
      <c r="T58" s="90" t="s">
        <v>41</v>
      </c>
      <c r="U58" s="91" t="str">
        <f t="shared" si="5"/>
        <v>MP M2 v KADCA M1</v>
      </c>
    </row>
    <row r="59">
      <c r="A59" s="94" t="str">
        <f t="shared" si="4"/>
        <v>MensM2AwayKADCA</v>
      </c>
      <c r="B59" s="75"/>
      <c r="C59" s="92">
        <v>46.0</v>
      </c>
      <c r="D59" s="77">
        <v>46051.0</v>
      </c>
      <c r="E59" s="78">
        <f t="shared" si="2"/>
        <v>46051</v>
      </c>
      <c r="F59" s="79">
        <v>0.875</v>
      </c>
      <c r="G59" s="80" t="s">
        <v>78</v>
      </c>
      <c r="H59" s="80" t="s">
        <v>35</v>
      </c>
      <c r="I59" s="81">
        <v>1.0</v>
      </c>
      <c r="J59" s="82" t="s">
        <v>36</v>
      </c>
      <c r="K59" s="83" t="s">
        <v>3</v>
      </c>
      <c r="L59" s="84" t="s">
        <v>80</v>
      </c>
      <c r="M59" s="85" t="s">
        <v>28</v>
      </c>
      <c r="N59" s="87" t="s">
        <v>42</v>
      </c>
      <c r="O59" s="87" t="s">
        <v>55</v>
      </c>
      <c r="P59" s="80" t="s">
        <v>79</v>
      </c>
      <c r="Q59" s="88" t="s">
        <v>56</v>
      </c>
      <c r="R59" s="89"/>
      <c r="S59" s="90" t="s">
        <v>40</v>
      </c>
      <c r="T59" s="90" t="s">
        <v>44</v>
      </c>
      <c r="U59" s="91" t="str">
        <f t="shared" si="5"/>
        <v>MP M2 v KADCA M1</v>
      </c>
    </row>
    <row r="60">
      <c r="A60" s="94" t="str">
        <f t="shared" si="4"/>
        <v>MensM2HomeLaochra</v>
      </c>
      <c r="B60" s="75"/>
      <c r="C60" s="76">
        <v>47.0</v>
      </c>
      <c r="D60" s="77">
        <v>46065.0</v>
      </c>
      <c r="E60" s="78">
        <f t="shared" si="2"/>
        <v>46065</v>
      </c>
      <c r="F60" s="79">
        <v>0.875</v>
      </c>
      <c r="G60" s="80" t="s">
        <v>78</v>
      </c>
      <c r="H60" s="80" t="s">
        <v>35</v>
      </c>
      <c r="I60" s="81">
        <v>1.0</v>
      </c>
      <c r="J60" s="82" t="s">
        <v>36</v>
      </c>
      <c r="K60" s="83" t="s">
        <v>3</v>
      </c>
      <c r="L60" s="84" t="s">
        <v>80</v>
      </c>
      <c r="M60" s="85" t="s">
        <v>28</v>
      </c>
      <c r="N60" s="87" t="s">
        <v>38</v>
      </c>
      <c r="O60" s="87" t="s">
        <v>58</v>
      </c>
      <c r="P60" s="80" t="s">
        <v>79</v>
      </c>
      <c r="Q60" s="88" t="s">
        <v>3</v>
      </c>
      <c r="R60" s="89"/>
      <c r="S60" s="90" t="s">
        <v>40</v>
      </c>
      <c r="T60" s="90" t="s">
        <v>18</v>
      </c>
      <c r="U60" s="91" t="str">
        <f t="shared" si="5"/>
        <v>MP M2 v Laochra M1</v>
      </c>
    </row>
    <row r="61">
      <c r="A61" s="94" t="str">
        <f t="shared" si="4"/>
        <v>MensM2AwayLaochra</v>
      </c>
      <c r="B61" s="98"/>
      <c r="C61" s="92">
        <v>48.0</v>
      </c>
      <c r="D61" s="77">
        <v>46073.0</v>
      </c>
      <c r="E61" s="78">
        <f t="shared" si="2"/>
        <v>46073</v>
      </c>
      <c r="F61" s="79">
        <v>0.8333333333333334</v>
      </c>
      <c r="G61" s="80" t="s">
        <v>78</v>
      </c>
      <c r="H61" s="80" t="s">
        <v>35</v>
      </c>
      <c r="I61" s="81">
        <v>1.0</v>
      </c>
      <c r="J61" s="82" t="s">
        <v>36</v>
      </c>
      <c r="K61" s="83" t="s">
        <v>3</v>
      </c>
      <c r="L61" s="84" t="s">
        <v>80</v>
      </c>
      <c r="M61" s="85" t="s">
        <v>28</v>
      </c>
      <c r="N61" s="87" t="s">
        <v>42</v>
      </c>
      <c r="O61" s="87" t="s">
        <v>58</v>
      </c>
      <c r="P61" s="93" t="s">
        <v>79</v>
      </c>
      <c r="Q61" s="88" t="s">
        <v>59</v>
      </c>
      <c r="R61" s="89"/>
      <c r="S61" s="90" t="s">
        <v>40</v>
      </c>
      <c r="T61" s="90" t="s">
        <v>44</v>
      </c>
      <c r="U61" s="91" t="str">
        <f t="shared" si="5"/>
        <v>MP M2 v Laochra M1</v>
      </c>
    </row>
    <row r="62">
      <c r="A62" s="74" t="str">
        <f t="shared" si="4"/>
        <v>MensM2HomeSouth Dublin</v>
      </c>
      <c r="B62" s="98"/>
      <c r="C62" s="76">
        <v>49.0</v>
      </c>
      <c r="D62" s="77">
        <v>46062.0</v>
      </c>
      <c r="E62" s="78">
        <f t="shared" si="2"/>
        <v>46062</v>
      </c>
      <c r="F62" s="79">
        <v>0.875</v>
      </c>
      <c r="G62" s="80" t="s">
        <v>78</v>
      </c>
      <c r="H62" s="80" t="s">
        <v>35</v>
      </c>
      <c r="I62" s="81">
        <v>1.0</v>
      </c>
      <c r="J62" s="82" t="s">
        <v>36</v>
      </c>
      <c r="K62" s="83" t="s">
        <v>3</v>
      </c>
      <c r="L62" s="84" t="s">
        <v>80</v>
      </c>
      <c r="M62" s="85" t="s">
        <v>28</v>
      </c>
      <c r="N62" s="86" t="s">
        <v>38</v>
      </c>
      <c r="O62" s="87" t="s">
        <v>73</v>
      </c>
      <c r="P62" s="93" t="s">
        <v>79</v>
      </c>
      <c r="Q62" s="88" t="s">
        <v>3</v>
      </c>
      <c r="R62" s="89"/>
      <c r="S62" s="90" t="s">
        <v>40</v>
      </c>
      <c r="T62" s="90" t="s">
        <v>18</v>
      </c>
      <c r="U62" s="91" t="str">
        <f t="shared" si="5"/>
        <v>MP M2 v South Dublin M1</v>
      </c>
    </row>
    <row r="63">
      <c r="A63" s="94" t="str">
        <f t="shared" si="4"/>
        <v>MensM2AwaySouth Dublin</v>
      </c>
      <c r="B63" s="98"/>
      <c r="C63" s="92">
        <v>50.0</v>
      </c>
      <c r="D63" s="77">
        <v>46059.0</v>
      </c>
      <c r="E63" s="78">
        <f t="shared" si="2"/>
        <v>46059</v>
      </c>
      <c r="F63" s="79">
        <v>0.8333333333333334</v>
      </c>
      <c r="G63" s="80" t="s">
        <v>78</v>
      </c>
      <c r="H63" s="80" t="s">
        <v>35</v>
      </c>
      <c r="I63" s="81">
        <v>1.0</v>
      </c>
      <c r="J63" s="82" t="s">
        <v>36</v>
      </c>
      <c r="K63" s="83" t="s">
        <v>3</v>
      </c>
      <c r="L63" s="84" t="s">
        <v>80</v>
      </c>
      <c r="M63" s="85" t="s">
        <v>28</v>
      </c>
      <c r="N63" s="86" t="s">
        <v>42</v>
      </c>
      <c r="O63" s="87" t="s">
        <v>73</v>
      </c>
      <c r="P63" s="93" t="s">
        <v>79</v>
      </c>
      <c r="Q63" s="88" t="s">
        <v>56</v>
      </c>
      <c r="R63" s="89"/>
      <c r="S63" s="90" t="s">
        <v>40</v>
      </c>
      <c r="T63" s="90" t="s">
        <v>44</v>
      </c>
      <c r="U63" s="91" t="str">
        <f t="shared" si="5"/>
        <v>MP M2 v South Dublin M1</v>
      </c>
    </row>
    <row r="64">
      <c r="A64" s="94" t="str">
        <f t="shared" si="4"/>
        <v>MensM3HomeKildalkey</v>
      </c>
      <c r="B64" s="98"/>
      <c r="C64" s="76">
        <v>51.0</v>
      </c>
      <c r="D64" s="77">
        <v>46107.0</v>
      </c>
      <c r="E64" s="78">
        <f t="shared" si="2"/>
        <v>46107</v>
      </c>
      <c r="F64" s="79">
        <v>0.875</v>
      </c>
      <c r="G64" s="99" t="s">
        <v>78</v>
      </c>
      <c r="H64" s="84" t="s">
        <v>53</v>
      </c>
      <c r="I64" s="81">
        <v>2.0</v>
      </c>
      <c r="J64" s="82" t="s">
        <v>36</v>
      </c>
      <c r="K64" s="83" t="s">
        <v>3</v>
      </c>
      <c r="L64" s="84" t="s">
        <v>81</v>
      </c>
      <c r="M64" s="85" t="s">
        <v>28</v>
      </c>
      <c r="N64" s="86" t="s">
        <v>38</v>
      </c>
      <c r="O64" s="87" t="s">
        <v>82</v>
      </c>
      <c r="P64" s="80" t="s">
        <v>79</v>
      </c>
      <c r="Q64" s="88" t="s">
        <v>83</v>
      </c>
      <c r="R64" s="89"/>
      <c r="S64" s="90" t="s">
        <v>40</v>
      </c>
      <c r="T64" s="90" t="s">
        <v>18</v>
      </c>
      <c r="U64" s="91" t="str">
        <f t="shared" si="5"/>
        <v>MP M3 v Kildalkey M1</v>
      </c>
    </row>
    <row r="65">
      <c r="A65" s="94" t="str">
        <f t="shared" si="4"/>
        <v>MensM3AwayKildalkey</v>
      </c>
      <c r="B65" s="98"/>
      <c r="C65" s="92">
        <v>52.0</v>
      </c>
      <c r="D65" s="77">
        <v>46029.0</v>
      </c>
      <c r="E65" s="78">
        <f t="shared" si="2"/>
        <v>46029</v>
      </c>
      <c r="F65" s="79">
        <v>0.8333333333333334</v>
      </c>
      <c r="G65" s="99" t="s">
        <v>78</v>
      </c>
      <c r="H65" s="84" t="s">
        <v>53</v>
      </c>
      <c r="I65" s="81">
        <v>2.0</v>
      </c>
      <c r="J65" s="82" t="s">
        <v>36</v>
      </c>
      <c r="K65" s="83" t="s">
        <v>3</v>
      </c>
      <c r="L65" s="84" t="s">
        <v>81</v>
      </c>
      <c r="M65" s="85" t="s">
        <v>28</v>
      </c>
      <c r="N65" s="87" t="s">
        <v>42</v>
      </c>
      <c r="O65" s="87" t="s">
        <v>82</v>
      </c>
      <c r="P65" s="80" t="s">
        <v>79</v>
      </c>
      <c r="Q65" s="88" t="s">
        <v>84</v>
      </c>
      <c r="R65" s="90"/>
      <c r="S65" s="90" t="s">
        <v>40</v>
      </c>
      <c r="T65" s="90" t="s">
        <v>44</v>
      </c>
      <c r="U65" s="91" t="str">
        <f t="shared" si="5"/>
        <v>MP M3 v Kildalkey M1</v>
      </c>
    </row>
    <row r="66">
      <c r="A66" s="94" t="str">
        <f t="shared" si="4"/>
        <v>MensM3HomeMullingar</v>
      </c>
      <c r="B66" s="98"/>
      <c r="C66" s="76">
        <v>53.0</v>
      </c>
      <c r="D66" s="77">
        <v>45975.0</v>
      </c>
      <c r="E66" s="78">
        <f t="shared" si="2"/>
        <v>45975</v>
      </c>
      <c r="F66" s="79">
        <v>0.8333333333333334</v>
      </c>
      <c r="G66" s="99" t="s">
        <v>78</v>
      </c>
      <c r="H66" s="84" t="s">
        <v>53</v>
      </c>
      <c r="I66" s="81">
        <v>2.0</v>
      </c>
      <c r="J66" s="82" t="s">
        <v>36</v>
      </c>
      <c r="K66" s="83" t="s">
        <v>3</v>
      </c>
      <c r="L66" s="84" t="s">
        <v>81</v>
      </c>
      <c r="M66" s="85" t="s">
        <v>28</v>
      </c>
      <c r="N66" s="87" t="s">
        <v>38</v>
      </c>
      <c r="O66" s="87" t="s">
        <v>85</v>
      </c>
      <c r="P66" s="80" t="s">
        <v>79</v>
      </c>
      <c r="Q66" s="88" t="s">
        <v>3</v>
      </c>
      <c r="R66" s="89"/>
      <c r="S66" s="90" t="s">
        <v>47</v>
      </c>
      <c r="T66" s="90" t="s">
        <v>41</v>
      </c>
      <c r="U66" s="91" t="str">
        <f t="shared" si="5"/>
        <v>MP M3 v Mullingar M1</v>
      </c>
    </row>
    <row r="67">
      <c r="A67" s="94" t="str">
        <f t="shared" si="4"/>
        <v>MensM3AwayMullingar</v>
      </c>
      <c r="B67" s="98"/>
      <c r="C67" s="92">
        <v>54.0</v>
      </c>
      <c r="D67" s="77">
        <v>46007.0</v>
      </c>
      <c r="E67" s="78">
        <f t="shared" si="2"/>
        <v>46007</v>
      </c>
      <c r="F67" s="79">
        <v>0.8333333333333334</v>
      </c>
      <c r="G67" s="99" t="s">
        <v>78</v>
      </c>
      <c r="H67" s="84" t="s">
        <v>53</v>
      </c>
      <c r="I67" s="81">
        <v>2.0</v>
      </c>
      <c r="J67" s="82" t="s">
        <v>36</v>
      </c>
      <c r="K67" s="83" t="s">
        <v>3</v>
      </c>
      <c r="L67" s="84" t="s">
        <v>81</v>
      </c>
      <c r="M67" s="85" t="s">
        <v>28</v>
      </c>
      <c r="N67" s="87" t="s">
        <v>42</v>
      </c>
      <c r="O67" s="87" t="s">
        <v>85</v>
      </c>
      <c r="P67" s="80" t="s">
        <v>79</v>
      </c>
      <c r="Q67" s="88" t="s">
        <v>85</v>
      </c>
      <c r="R67" s="90"/>
      <c r="S67" s="90" t="s">
        <v>40</v>
      </c>
      <c r="T67" s="90" t="s">
        <v>44</v>
      </c>
      <c r="U67" s="91" t="str">
        <f t="shared" si="5"/>
        <v>MP M3 v Mullingar M1</v>
      </c>
    </row>
    <row r="68">
      <c r="A68" s="94" t="str">
        <f t="shared" si="4"/>
        <v>MensM3HomePembroke</v>
      </c>
      <c r="B68" s="98"/>
      <c r="C68" s="76">
        <v>55.0</v>
      </c>
      <c r="D68" s="77">
        <v>46061.0</v>
      </c>
      <c r="E68" s="78">
        <f t="shared" si="2"/>
        <v>46061</v>
      </c>
      <c r="F68" s="79">
        <v>0.75</v>
      </c>
      <c r="G68" s="99" t="s">
        <v>78</v>
      </c>
      <c r="H68" s="84" t="s">
        <v>53</v>
      </c>
      <c r="I68" s="81">
        <v>2.0</v>
      </c>
      <c r="J68" s="82" t="s">
        <v>36</v>
      </c>
      <c r="K68" s="83" t="s">
        <v>3</v>
      </c>
      <c r="L68" s="84" t="s">
        <v>81</v>
      </c>
      <c r="M68" s="85" t="s">
        <v>28</v>
      </c>
      <c r="N68" s="87" t="s">
        <v>38</v>
      </c>
      <c r="O68" s="87" t="s">
        <v>52</v>
      </c>
      <c r="P68" s="93" t="s">
        <v>80</v>
      </c>
      <c r="Q68" s="88" t="s">
        <v>3</v>
      </c>
      <c r="R68" s="90"/>
      <c r="S68" s="90" t="s">
        <v>40</v>
      </c>
      <c r="T68" s="90" t="s">
        <v>18</v>
      </c>
      <c r="U68" s="91" t="str">
        <f t="shared" si="5"/>
        <v>MP M3 v Pembroke M2</v>
      </c>
    </row>
    <row r="69">
      <c r="A69" s="94" t="str">
        <f t="shared" si="4"/>
        <v>MensM3AwayPembroke</v>
      </c>
      <c r="B69" s="98"/>
      <c r="C69" s="92">
        <v>56.0</v>
      </c>
      <c r="D69" s="77">
        <v>46093.0</v>
      </c>
      <c r="E69" s="78">
        <f t="shared" si="2"/>
        <v>46093</v>
      </c>
      <c r="F69" s="79">
        <v>0.8333333333333334</v>
      </c>
      <c r="G69" s="99" t="s">
        <v>78</v>
      </c>
      <c r="H69" s="84" t="s">
        <v>53</v>
      </c>
      <c r="I69" s="81">
        <v>2.0</v>
      </c>
      <c r="J69" s="82" t="s">
        <v>36</v>
      </c>
      <c r="K69" s="83" t="s">
        <v>3</v>
      </c>
      <c r="L69" s="84" t="s">
        <v>81</v>
      </c>
      <c r="M69" s="85" t="s">
        <v>28</v>
      </c>
      <c r="N69" s="87" t="s">
        <v>42</v>
      </c>
      <c r="O69" s="87" t="s">
        <v>52</v>
      </c>
      <c r="P69" s="93" t="s">
        <v>80</v>
      </c>
      <c r="Q69" s="88" t="s">
        <v>51</v>
      </c>
      <c r="R69" s="90"/>
      <c r="S69" s="90" t="s">
        <v>40</v>
      </c>
      <c r="T69" s="90" t="s">
        <v>44</v>
      </c>
      <c r="U69" s="91" t="str">
        <f t="shared" si="5"/>
        <v>MP M3 v Pembroke M2</v>
      </c>
    </row>
    <row r="70">
      <c r="A70" s="74" t="str">
        <f t="shared" si="4"/>
        <v>MensM3HomeSouth Dublin</v>
      </c>
      <c r="B70" s="98"/>
      <c r="C70" s="76">
        <v>57.0</v>
      </c>
      <c r="D70" s="77">
        <v>46096.0</v>
      </c>
      <c r="E70" s="78">
        <f t="shared" si="2"/>
        <v>46096</v>
      </c>
      <c r="F70" s="79">
        <v>0.7916666666666666</v>
      </c>
      <c r="G70" s="99" t="s">
        <v>78</v>
      </c>
      <c r="H70" s="84" t="s">
        <v>53</v>
      </c>
      <c r="I70" s="81">
        <v>3.0</v>
      </c>
      <c r="J70" s="82" t="s">
        <v>36</v>
      </c>
      <c r="K70" s="83" t="s">
        <v>3</v>
      </c>
      <c r="L70" s="84" t="s">
        <v>81</v>
      </c>
      <c r="M70" s="85" t="s">
        <v>28</v>
      </c>
      <c r="N70" s="87" t="s">
        <v>38</v>
      </c>
      <c r="O70" s="87" t="s">
        <v>73</v>
      </c>
      <c r="P70" s="93" t="s">
        <v>80</v>
      </c>
      <c r="Q70" s="88" t="s">
        <v>3</v>
      </c>
      <c r="R70" s="90"/>
      <c r="S70" s="90" t="s">
        <v>40</v>
      </c>
      <c r="T70" s="90" t="s">
        <v>18</v>
      </c>
      <c r="U70" s="91" t="str">
        <f t="shared" si="5"/>
        <v>MP M3 v South Dublin M2</v>
      </c>
    </row>
    <row r="71">
      <c r="A71" s="94" t="str">
        <f t="shared" si="4"/>
        <v>MensM3AwaySouth Dublin</v>
      </c>
      <c r="B71" s="98"/>
      <c r="C71" s="92">
        <v>58.0</v>
      </c>
      <c r="D71" s="77">
        <v>45995.0</v>
      </c>
      <c r="E71" s="78">
        <f t="shared" si="2"/>
        <v>45995</v>
      </c>
      <c r="F71" s="79">
        <v>0.7916666666666666</v>
      </c>
      <c r="G71" s="99" t="s">
        <v>78</v>
      </c>
      <c r="H71" s="84" t="s">
        <v>53</v>
      </c>
      <c r="I71" s="81">
        <v>3.0</v>
      </c>
      <c r="J71" s="82" t="s">
        <v>36</v>
      </c>
      <c r="K71" s="83" t="s">
        <v>3</v>
      </c>
      <c r="L71" s="84" t="s">
        <v>81</v>
      </c>
      <c r="M71" s="85" t="s">
        <v>28</v>
      </c>
      <c r="N71" s="86" t="s">
        <v>42</v>
      </c>
      <c r="O71" s="87" t="s">
        <v>73</v>
      </c>
      <c r="P71" s="93" t="s">
        <v>80</v>
      </c>
      <c r="Q71" s="88" t="s">
        <v>86</v>
      </c>
      <c r="R71" s="90"/>
      <c r="S71" s="90" t="s">
        <v>40</v>
      </c>
      <c r="T71" s="90" t="s">
        <v>44</v>
      </c>
      <c r="U71" s="91" t="str">
        <f t="shared" si="5"/>
        <v>MP M3 v South Dublin M2</v>
      </c>
    </row>
    <row r="72">
      <c r="A72" s="94" t="str">
        <f t="shared" si="4"/>
        <v>MensM4HomeKADCA</v>
      </c>
      <c r="B72" s="98"/>
      <c r="C72" s="76">
        <v>59.0</v>
      </c>
      <c r="D72" s="77">
        <v>45958.0</v>
      </c>
      <c r="E72" s="78">
        <f t="shared" si="2"/>
        <v>45958</v>
      </c>
      <c r="F72" s="79">
        <v>0.7916666666666666</v>
      </c>
      <c r="G72" s="99" t="s">
        <v>78</v>
      </c>
      <c r="H72" s="84" t="s">
        <v>53</v>
      </c>
      <c r="I72" s="81">
        <v>3.0</v>
      </c>
      <c r="J72" s="82" t="s">
        <v>36</v>
      </c>
      <c r="K72" s="83" t="s">
        <v>3</v>
      </c>
      <c r="L72" s="84" t="s">
        <v>87</v>
      </c>
      <c r="M72" s="85" t="s">
        <v>28</v>
      </c>
      <c r="N72" s="87" t="s">
        <v>38</v>
      </c>
      <c r="O72" s="87" t="s">
        <v>55</v>
      </c>
      <c r="P72" s="93" t="s">
        <v>81</v>
      </c>
      <c r="Q72" s="88" t="s">
        <v>3</v>
      </c>
      <c r="R72" s="90"/>
      <c r="S72" s="90" t="s">
        <v>47</v>
      </c>
      <c r="T72" s="90" t="s">
        <v>41</v>
      </c>
      <c r="U72" s="91" t="str">
        <f t="shared" si="5"/>
        <v>MP M4 v KADCA M3</v>
      </c>
    </row>
    <row r="73">
      <c r="A73" s="94" t="str">
        <f t="shared" si="4"/>
        <v>MensM4AwayKADCA</v>
      </c>
      <c r="B73" s="98"/>
      <c r="C73" s="92">
        <v>60.0</v>
      </c>
      <c r="D73" s="77">
        <v>46077.0</v>
      </c>
      <c r="E73" s="78">
        <f t="shared" si="2"/>
        <v>46077</v>
      </c>
      <c r="F73" s="79">
        <v>0.875</v>
      </c>
      <c r="G73" s="99" t="s">
        <v>78</v>
      </c>
      <c r="H73" s="84" t="s">
        <v>53</v>
      </c>
      <c r="I73" s="81">
        <v>3.0</v>
      </c>
      <c r="J73" s="82" t="s">
        <v>36</v>
      </c>
      <c r="K73" s="83" t="s">
        <v>3</v>
      </c>
      <c r="L73" s="84" t="s">
        <v>87</v>
      </c>
      <c r="M73" s="85" t="s">
        <v>28</v>
      </c>
      <c r="N73" s="87" t="s">
        <v>42</v>
      </c>
      <c r="O73" s="87" t="s">
        <v>55</v>
      </c>
      <c r="P73" s="93" t="s">
        <v>81</v>
      </c>
      <c r="Q73" s="88" t="s">
        <v>56</v>
      </c>
      <c r="R73" s="90"/>
      <c r="S73" s="90" t="s">
        <v>40</v>
      </c>
      <c r="T73" s="90" t="s">
        <v>44</v>
      </c>
      <c r="U73" s="91" t="str">
        <f t="shared" si="5"/>
        <v>MP M4 v KADCA M3</v>
      </c>
    </row>
    <row r="74">
      <c r="A74" s="94" t="str">
        <f t="shared" si="4"/>
        <v>MensM4HomeLaochra</v>
      </c>
      <c r="B74" s="98"/>
      <c r="C74" s="76">
        <v>61.0</v>
      </c>
      <c r="D74" s="77">
        <v>46000.0</v>
      </c>
      <c r="E74" s="78">
        <f t="shared" si="2"/>
        <v>46000</v>
      </c>
      <c r="F74" s="79">
        <v>0.875</v>
      </c>
      <c r="G74" s="99" t="s">
        <v>78</v>
      </c>
      <c r="H74" s="84" t="s">
        <v>53</v>
      </c>
      <c r="I74" s="81">
        <v>3.0</v>
      </c>
      <c r="J74" s="82" t="s">
        <v>36</v>
      </c>
      <c r="K74" s="83" t="s">
        <v>3</v>
      </c>
      <c r="L74" s="84" t="s">
        <v>87</v>
      </c>
      <c r="M74" s="85" t="s">
        <v>28</v>
      </c>
      <c r="N74" s="87" t="s">
        <v>38</v>
      </c>
      <c r="O74" s="87" t="s">
        <v>58</v>
      </c>
      <c r="P74" s="80" t="s">
        <v>80</v>
      </c>
      <c r="Q74" s="88" t="s">
        <v>3</v>
      </c>
      <c r="R74" s="90"/>
      <c r="S74" s="90" t="s">
        <v>40</v>
      </c>
      <c r="T74" s="90" t="s">
        <v>41</v>
      </c>
      <c r="U74" s="91" t="str">
        <f t="shared" si="5"/>
        <v>MP M4 v Laochra M2</v>
      </c>
    </row>
    <row r="75">
      <c r="A75" s="94" t="str">
        <f t="shared" si="4"/>
        <v>MensM4AwayLaochra</v>
      </c>
      <c r="B75" s="98"/>
      <c r="C75" s="92">
        <v>62.0</v>
      </c>
      <c r="D75" s="77">
        <v>46086.0</v>
      </c>
      <c r="E75" s="78">
        <f t="shared" si="2"/>
        <v>46086</v>
      </c>
      <c r="F75" s="79">
        <v>0.8333333333333334</v>
      </c>
      <c r="G75" s="99" t="s">
        <v>78</v>
      </c>
      <c r="H75" s="84" t="s">
        <v>53</v>
      </c>
      <c r="I75" s="81">
        <v>3.0</v>
      </c>
      <c r="J75" s="82" t="s">
        <v>36</v>
      </c>
      <c r="K75" s="83" t="s">
        <v>3</v>
      </c>
      <c r="L75" s="84" t="s">
        <v>87</v>
      </c>
      <c r="M75" s="85" t="s">
        <v>28</v>
      </c>
      <c r="N75" s="82" t="s">
        <v>42</v>
      </c>
      <c r="O75" s="87" t="s">
        <v>58</v>
      </c>
      <c r="P75" s="80" t="s">
        <v>80</v>
      </c>
      <c r="Q75" s="88" t="s">
        <v>59</v>
      </c>
      <c r="R75" s="90"/>
      <c r="S75" s="90" t="s">
        <v>40</v>
      </c>
      <c r="T75" s="90" t="s">
        <v>44</v>
      </c>
      <c r="U75" s="91" t="str">
        <f t="shared" si="5"/>
        <v>MP M4 v Laochra M2</v>
      </c>
    </row>
    <row r="76">
      <c r="A76" s="94" t="str">
        <f t="shared" si="4"/>
        <v>MensM4HomePembroke</v>
      </c>
      <c r="B76" s="98"/>
      <c r="C76" s="76">
        <v>63.0</v>
      </c>
      <c r="D76" s="77">
        <v>45979.0</v>
      </c>
      <c r="E76" s="78">
        <f t="shared" si="2"/>
        <v>45979</v>
      </c>
      <c r="F76" s="79">
        <v>0.875</v>
      </c>
      <c r="G76" s="99" t="s">
        <v>78</v>
      </c>
      <c r="H76" s="84">
        <v>2.0</v>
      </c>
      <c r="I76" s="81">
        <v>3.0</v>
      </c>
      <c r="J76" s="82" t="s">
        <v>36</v>
      </c>
      <c r="K76" s="83" t="s">
        <v>3</v>
      </c>
      <c r="L76" s="84" t="s">
        <v>87</v>
      </c>
      <c r="M76" s="85" t="s">
        <v>28</v>
      </c>
      <c r="N76" s="82" t="s">
        <v>38</v>
      </c>
      <c r="O76" s="87" t="s">
        <v>52</v>
      </c>
      <c r="P76" s="80" t="s">
        <v>81</v>
      </c>
      <c r="Q76" s="88" t="s">
        <v>3</v>
      </c>
      <c r="R76" s="90"/>
      <c r="S76" s="90" t="s">
        <v>40</v>
      </c>
      <c r="T76" s="90" t="s">
        <v>41</v>
      </c>
      <c r="U76" s="91" t="str">
        <f t="shared" si="5"/>
        <v>MP M4 v Pembroke M3</v>
      </c>
    </row>
    <row r="77">
      <c r="A77" s="94" t="str">
        <f t="shared" si="4"/>
        <v>MensM4AwayPembroke</v>
      </c>
      <c r="B77" s="98"/>
      <c r="C77" s="92">
        <v>64.0</v>
      </c>
      <c r="D77" s="77">
        <v>46044.0</v>
      </c>
      <c r="E77" s="78">
        <f t="shared" si="2"/>
        <v>46044</v>
      </c>
      <c r="F77" s="79">
        <v>0.8333333333333334</v>
      </c>
      <c r="G77" s="99" t="s">
        <v>78</v>
      </c>
      <c r="H77" s="84" t="s">
        <v>53</v>
      </c>
      <c r="I77" s="81">
        <v>3.0</v>
      </c>
      <c r="J77" s="82" t="s">
        <v>36</v>
      </c>
      <c r="K77" s="83" t="s">
        <v>3</v>
      </c>
      <c r="L77" s="84" t="s">
        <v>87</v>
      </c>
      <c r="M77" s="85" t="s">
        <v>28</v>
      </c>
      <c r="N77" s="87" t="s">
        <v>42</v>
      </c>
      <c r="O77" s="87" t="s">
        <v>52</v>
      </c>
      <c r="P77" s="80" t="s">
        <v>81</v>
      </c>
      <c r="Q77" s="88" t="s">
        <v>51</v>
      </c>
      <c r="R77" s="90"/>
      <c r="S77" s="90" t="s">
        <v>40</v>
      </c>
      <c r="T77" s="90" t="s">
        <v>44</v>
      </c>
      <c r="U77" s="91" t="str">
        <f t="shared" si="5"/>
        <v>MP M4 v Pembroke M3</v>
      </c>
    </row>
    <row r="78">
      <c r="A78" s="94" t="str">
        <f t="shared" si="4"/>
        <v>MensM4HomeViking</v>
      </c>
      <c r="B78" s="98"/>
      <c r="C78" s="76">
        <v>65.0</v>
      </c>
      <c r="D78" s="77">
        <v>46105.0</v>
      </c>
      <c r="E78" s="78">
        <f t="shared" si="2"/>
        <v>46105</v>
      </c>
      <c r="F78" s="79">
        <v>0.7916666666666666</v>
      </c>
      <c r="G78" s="99" t="s">
        <v>78</v>
      </c>
      <c r="H78" s="84" t="s">
        <v>53</v>
      </c>
      <c r="I78" s="81">
        <v>3.0</v>
      </c>
      <c r="J78" s="82" t="s">
        <v>36</v>
      </c>
      <c r="K78" s="83" t="s">
        <v>3</v>
      </c>
      <c r="L78" s="84" t="s">
        <v>87</v>
      </c>
      <c r="M78" s="85" t="s">
        <v>28</v>
      </c>
      <c r="N78" s="82" t="s">
        <v>38</v>
      </c>
      <c r="O78" s="87" t="s">
        <v>88</v>
      </c>
      <c r="P78" s="100" t="s">
        <v>79</v>
      </c>
      <c r="Q78" s="88" t="s">
        <v>3</v>
      </c>
      <c r="R78" s="90"/>
      <c r="S78" s="90" t="s">
        <v>40</v>
      </c>
      <c r="T78" s="90" t="s">
        <v>18</v>
      </c>
      <c r="U78" s="91" t="str">
        <f t="shared" si="5"/>
        <v>MP M4 v Viking M1</v>
      </c>
    </row>
    <row r="79">
      <c r="A79" s="94" t="str">
        <f t="shared" si="4"/>
        <v>MensM4AwayViking</v>
      </c>
      <c r="B79" s="98"/>
      <c r="C79" s="92">
        <v>66.0</v>
      </c>
      <c r="D79" s="77">
        <v>46004.0</v>
      </c>
      <c r="E79" s="78">
        <f t="shared" si="2"/>
        <v>46004</v>
      </c>
      <c r="F79" s="79">
        <v>0.8333333333333334</v>
      </c>
      <c r="G79" s="99" t="s">
        <v>78</v>
      </c>
      <c r="H79" s="84" t="s">
        <v>53</v>
      </c>
      <c r="I79" s="81">
        <v>3.0</v>
      </c>
      <c r="J79" s="82" t="s">
        <v>36</v>
      </c>
      <c r="K79" s="83" t="s">
        <v>3</v>
      </c>
      <c r="L79" s="84" t="s">
        <v>87</v>
      </c>
      <c r="M79" s="85" t="s">
        <v>28</v>
      </c>
      <c r="N79" s="87" t="s">
        <v>42</v>
      </c>
      <c r="O79" s="87" t="s">
        <v>88</v>
      </c>
      <c r="P79" s="100" t="s">
        <v>79</v>
      </c>
      <c r="Q79" s="88" t="s">
        <v>51</v>
      </c>
      <c r="R79" s="90"/>
      <c r="S79" s="90" t="s">
        <v>40</v>
      </c>
      <c r="T79" s="90" t="s">
        <v>44</v>
      </c>
      <c r="U79" s="91" t="str">
        <f t="shared" si="5"/>
        <v>MP M4 v Viking M1</v>
      </c>
    </row>
    <row r="80">
      <c r="A80" s="94" t="str">
        <f t="shared" si="4"/>
        <v>MensM5HomeAilesbury</v>
      </c>
      <c r="B80" s="98"/>
      <c r="C80" s="76">
        <v>67.0</v>
      </c>
      <c r="D80" s="77">
        <v>45964.0</v>
      </c>
      <c r="E80" s="78">
        <f t="shared" si="2"/>
        <v>45964</v>
      </c>
      <c r="F80" s="79">
        <v>0.7916666666666666</v>
      </c>
      <c r="G80" s="99" t="s">
        <v>78</v>
      </c>
      <c r="H80" s="84" t="s">
        <v>53</v>
      </c>
      <c r="I80" s="81">
        <v>4.0</v>
      </c>
      <c r="J80" s="82" t="s">
        <v>36</v>
      </c>
      <c r="K80" s="83" t="s">
        <v>3</v>
      </c>
      <c r="L80" s="84" t="s">
        <v>89</v>
      </c>
      <c r="M80" s="85" t="s">
        <v>28</v>
      </c>
      <c r="N80" s="87" t="s">
        <v>38</v>
      </c>
      <c r="O80" s="87" t="s">
        <v>39</v>
      </c>
      <c r="P80" s="93" t="s">
        <v>80</v>
      </c>
      <c r="Q80" s="88" t="s">
        <v>3</v>
      </c>
      <c r="R80" s="90"/>
      <c r="S80" s="90" t="s">
        <v>47</v>
      </c>
      <c r="T80" s="90" t="s">
        <v>41</v>
      </c>
      <c r="U80" s="91" t="str">
        <f t="shared" si="5"/>
        <v>MP M5 v Ailesbury M2</v>
      </c>
    </row>
    <row r="81">
      <c r="A81" s="94" t="str">
        <f t="shared" si="4"/>
        <v>MensM5AwayAilesbury</v>
      </c>
      <c r="B81" s="98"/>
      <c r="C81" s="92">
        <v>68.0</v>
      </c>
      <c r="D81" s="77">
        <v>45995.0</v>
      </c>
      <c r="E81" s="78">
        <f t="shared" si="2"/>
        <v>45995</v>
      </c>
      <c r="F81" s="79">
        <v>0.7916666666666666</v>
      </c>
      <c r="G81" s="99" t="s">
        <v>78</v>
      </c>
      <c r="H81" s="84" t="s">
        <v>53</v>
      </c>
      <c r="I81" s="81">
        <v>4.0</v>
      </c>
      <c r="J81" s="82" t="s">
        <v>36</v>
      </c>
      <c r="K81" s="83" t="s">
        <v>3</v>
      </c>
      <c r="L81" s="84" t="s">
        <v>89</v>
      </c>
      <c r="M81" s="85" t="s">
        <v>28</v>
      </c>
      <c r="N81" s="87" t="s">
        <v>42</v>
      </c>
      <c r="O81" s="87" t="s">
        <v>39</v>
      </c>
      <c r="P81" s="93" t="s">
        <v>80</v>
      </c>
      <c r="Q81" s="88" t="s">
        <v>43</v>
      </c>
      <c r="R81" s="90"/>
      <c r="S81" s="90" t="s">
        <v>40</v>
      </c>
      <c r="T81" s="90" t="s">
        <v>44</v>
      </c>
      <c r="U81" s="91" t="str">
        <f t="shared" si="5"/>
        <v>MP M5 v Ailesbury M2</v>
      </c>
    </row>
    <row r="82">
      <c r="A82" s="94" t="str">
        <f t="shared" si="4"/>
        <v>MensM5HomeOld School</v>
      </c>
      <c r="B82" s="98"/>
      <c r="C82" s="76">
        <v>69.0</v>
      </c>
      <c r="D82" s="77">
        <v>46007.0</v>
      </c>
      <c r="E82" s="78">
        <f t="shared" si="2"/>
        <v>46007</v>
      </c>
      <c r="F82" s="79">
        <v>0.7916666666666666</v>
      </c>
      <c r="G82" s="99" t="s">
        <v>78</v>
      </c>
      <c r="H82" s="80" t="s">
        <v>53</v>
      </c>
      <c r="I82" s="81">
        <v>4.0</v>
      </c>
      <c r="J82" s="82" t="s">
        <v>36</v>
      </c>
      <c r="K82" s="83" t="s">
        <v>3</v>
      </c>
      <c r="L82" s="84" t="s">
        <v>89</v>
      </c>
      <c r="M82" s="85" t="s">
        <v>28</v>
      </c>
      <c r="N82" s="86" t="s">
        <v>38</v>
      </c>
      <c r="O82" s="87" t="s">
        <v>57</v>
      </c>
      <c r="P82" s="80" t="s">
        <v>79</v>
      </c>
      <c r="Q82" s="88" t="s">
        <v>3</v>
      </c>
      <c r="R82" s="89"/>
      <c r="S82" s="90" t="s">
        <v>40</v>
      </c>
      <c r="T82" s="90" t="s">
        <v>41</v>
      </c>
      <c r="U82" s="91" t="str">
        <f t="shared" si="5"/>
        <v>MP M5 v Old School M1</v>
      </c>
    </row>
    <row r="83">
      <c r="A83" s="94" t="str">
        <f t="shared" si="4"/>
        <v>MensM5AwayOld School</v>
      </c>
      <c r="B83" s="98"/>
      <c r="C83" s="92">
        <v>70.0</v>
      </c>
      <c r="D83" s="77">
        <v>46069.0</v>
      </c>
      <c r="E83" s="78">
        <f t="shared" si="2"/>
        <v>46069</v>
      </c>
      <c r="F83" s="79">
        <v>0.8333333333333334</v>
      </c>
      <c r="G83" s="99" t="s">
        <v>78</v>
      </c>
      <c r="H83" s="80" t="s">
        <v>53</v>
      </c>
      <c r="I83" s="81">
        <v>4.0</v>
      </c>
      <c r="J83" s="82" t="s">
        <v>36</v>
      </c>
      <c r="K83" s="83" t="s">
        <v>3</v>
      </c>
      <c r="L83" s="84" t="s">
        <v>89</v>
      </c>
      <c r="M83" s="85" t="s">
        <v>28</v>
      </c>
      <c r="N83" s="87" t="s">
        <v>42</v>
      </c>
      <c r="O83" s="87" t="s">
        <v>57</v>
      </c>
      <c r="P83" s="80" t="s">
        <v>79</v>
      </c>
      <c r="Q83" s="88" t="s">
        <v>51</v>
      </c>
      <c r="R83" s="89"/>
      <c r="S83" s="90" t="s">
        <v>40</v>
      </c>
      <c r="T83" s="90" t="s">
        <v>44</v>
      </c>
      <c r="U83" s="91" t="str">
        <f t="shared" si="5"/>
        <v>MP M5 v Old School M1</v>
      </c>
    </row>
    <row r="84">
      <c r="A84" s="94" t="str">
        <f t="shared" si="4"/>
        <v>MensM5HomePortlaoise</v>
      </c>
      <c r="B84" s="98"/>
      <c r="C84" s="76">
        <v>71.0</v>
      </c>
      <c r="D84" s="77">
        <v>46055.0</v>
      </c>
      <c r="E84" s="78">
        <f t="shared" si="2"/>
        <v>46055</v>
      </c>
      <c r="F84" s="79">
        <v>0.7916666666666666</v>
      </c>
      <c r="G84" s="99" t="s">
        <v>78</v>
      </c>
      <c r="H84" s="80" t="s">
        <v>53</v>
      </c>
      <c r="I84" s="81">
        <v>4.0</v>
      </c>
      <c r="J84" s="82" t="s">
        <v>36</v>
      </c>
      <c r="K84" s="83" t="s">
        <v>3</v>
      </c>
      <c r="L84" s="84" t="s">
        <v>89</v>
      </c>
      <c r="M84" s="85" t="s">
        <v>28</v>
      </c>
      <c r="N84" s="87" t="s">
        <v>38</v>
      </c>
      <c r="O84" s="87" t="s">
        <v>90</v>
      </c>
      <c r="P84" s="80" t="s">
        <v>79</v>
      </c>
      <c r="Q84" s="88" t="s">
        <v>3</v>
      </c>
      <c r="R84" s="89"/>
      <c r="S84" s="90" t="s">
        <v>40</v>
      </c>
      <c r="T84" s="90" t="s">
        <v>18</v>
      </c>
      <c r="U84" s="91" t="str">
        <f t="shared" si="5"/>
        <v>MP M5 v Portlaoise M1</v>
      </c>
    </row>
    <row r="85">
      <c r="A85" s="94" t="str">
        <f t="shared" si="4"/>
        <v>MensM5AwayPortlaoise</v>
      </c>
      <c r="B85" s="98"/>
      <c r="C85" s="92">
        <v>72.0</v>
      </c>
      <c r="D85" s="77">
        <v>46010.0</v>
      </c>
      <c r="E85" s="78">
        <f t="shared" si="2"/>
        <v>46010</v>
      </c>
      <c r="F85" s="79">
        <v>0.875</v>
      </c>
      <c r="G85" s="99" t="s">
        <v>78</v>
      </c>
      <c r="H85" s="80" t="s">
        <v>53</v>
      </c>
      <c r="I85" s="81">
        <v>4.0</v>
      </c>
      <c r="J85" s="82" t="s">
        <v>36</v>
      </c>
      <c r="K85" s="83" t="s">
        <v>3</v>
      </c>
      <c r="L85" s="84" t="s">
        <v>89</v>
      </c>
      <c r="M85" s="85" t="s">
        <v>28</v>
      </c>
      <c r="N85" s="87" t="s">
        <v>42</v>
      </c>
      <c r="O85" s="87" t="s">
        <v>90</v>
      </c>
      <c r="P85" s="101" t="s">
        <v>79</v>
      </c>
      <c r="Q85" s="88" t="s">
        <v>90</v>
      </c>
      <c r="R85" s="89"/>
      <c r="S85" s="90" t="s">
        <v>40</v>
      </c>
      <c r="T85" s="90" t="s">
        <v>44</v>
      </c>
      <c r="U85" s="91" t="str">
        <f t="shared" si="5"/>
        <v>MP M5 v Portlaoise M1</v>
      </c>
    </row>
    <row r="86">
      <c r="A86" s="94" t="str">
        <f t="shared" si="4"/>
        <v>MensM6HomeFairplay</v>
      </c>
      <c r="B86" s="98"/>
      <c r="C86" s="76">
        <v>73.0</v>
      </c>
      <c r="D86" s="77">
        <v>46034.0</v>
      </c>
      <c r="E86" s="78">
        <f t="shared" si="2"/>
        <v>46034</v>
      </c>
      <c r="F86" s="79">
        <v>0.8333333333333334</v>
      </c>
      <c r="G86" s="99" t="s">
        <v>78</v>
      </c>
      <c r="H86" s="80" t="s">
        <v>60</v>
      </c>
      <c r="I86" s="81">
        <v>1.0</v>
      </c>
      <c r="J86" s="82" t="s">
        <v>36</v>
      </c>
      <c r="K86" s="83" t="s">
        <v>3</v>
      </c>
      <c r="L86" s="84" t="s">
        <v>91</v>
      </c>
      <c r="M86" s="85" t="s">
        <v>28</v>
      </c>
      <c r="N86" s="86" t="s">
        <v>38</v>
      </c>
      <c r="O86" s="87" t="s">
        <v>92</v>
      </c>
      <c r="P86" s="80" t="s">
        <v>79</v>
      </c>
      <c r="Q86" s="88" t="s">
        <v>3</v>
      </c>
      <c r="R86" s="89"/>
      <c r="S86" s="90" t="s">
        <v>40</v>
      </c>
      <c r="T86" s="90" t="s">
        <v>41</v>
      </c>
      <c r="U86" s="91" t="str">
        <f t="shared" si="5"/>
        <v>MP M6 v Fairplay M1</v>
      </c>
    </row>
    <row r="87">
      <c r="A87" s="94" t="str">
        <f t="shared" si="4"/>
        <v>MensM6AwayFairplay</v>
      </c>
      <c r="B87" s="98"/>
      <c r="C87" s="92">
        <v>74.0</v>
      </c>
      <c r="D87" s="77">
        <v>46049.0</v>
      </c>
      <c r="E87" s="78">
        <f t="shared" si="2"/>
        <v>46049</v>
      </c>
      <c r="F87" s="79">
        <v>0.8333333333333334</v>
      </c>
      <c r="G87" s="99" t="s">
        <v>78</v>
      </c>
      <c r="H87" s="80" t="s">
        <v>60</v>
      </c>
      <c r="I87" s="81">
        <v>1.0</v>
      </c>
      <c r="J87" s="82" t="s">
        <v>36</v>
      </c>
      <c r="K87" s="83" t="s">
        <v>3</v>
      </c>
      <c r="L87" s="84" t="s">
        <v>91</v>
      </c>
      <c r="M87" s="85" t="s">
        <v>28</v>
      </c>
      <c r="N87" s="87" t="s">
        <v>42</v>
      </c>
      <c r="O87" s="87" t="s">
        <v>92</v>
      </c>
      <c r="P87" s="80" t="s">
        <v>79</v>
      </c>
      <c r="Q87" s="88" t="s">
        <v>93</v>
      </c>
      <c r="R87" s="89"/>
      <c r="S87" s="90" t="s">
        <v>40</v>
      </c>
      <c r="T87" s="90" t="s">
        <v>44</v>
      </c>
      <c r="U87" s="91" t="str">
        <f t="shared" si="5"/>
        <v>MP M6 v Fairplay M1</v>
      </c>
    </row>
    <row r="88">
      <c r="A88" s="94" t="str">
        <f t="shared" si="4"/>
        <v>MensM6HomeLeixlip Phoenix</v>
      </c>
      <c r="B88" s="98"/>
      <c r="C88" s="76">
        <v>75.0</v>
      </c>
      <c r="D88" s="77">
        <v>46041.0</v>
      </c>
      <c r="E88" s="78">
        <f t="shared" si="2"/>
        <v>46041</v>
      </c>
      <c r="F88" s="79">
        <v>0.7916666666666666</v>
      </c>
      <c r="G88" s="99" t="s">
        <v>78</v>
      </c>
      <c r="H88" s="80" t="s">
        <v>60</v>
      </c>
      <c r="I88" s="81">
        <v>1.0</v>
      </c>
      <c r="J88" s="82" t="s">
        <v>36</v>
      </c>
      <c r="K88" s="83" t="s">
        <v>3</v>
      </c>
      <c r="L88" s="84" t="s">
        <v>91</v>
      </c>
      <c r="M88" s="85" t="s">
        <v>28</v>
      </c>
      <c r="N88" s="87" t="s">
        <v>38</v>
      </c>
      <c r="O88" s="87" t="s">
        <v>94</v>
      </c>
      <c r="P88" s="80" t="s">
        <v>79</v>
      </c>
      <c r="Q88" s="88" t="s">
        <v>3</v>
      </c>
      <c r="R88" s="89"/>
      <c r="S88" s="90" t="s">
        <v>40</v>
      </c>
      <c r="T88" s="90" t="s">
        <v>41</v>
      </c>
      <c r="U88" s="91" t="str">
        <f t="shared" si="5"/>
        <v>MP M6 v Leixlip Phoenix M1</v>
      </c>
    </row>
    <row r="89">
      <c r="A89" s="94" t="str">
        <f t="shared" si="4"/>
        <v>MensM6AwayLeixlip Phoenix</v>
      </c>
      <c r="B89" s="98"/>
      <c r="C89" s="92">
        <v>76.0</v>
      </c>
      <c r="D89" s="77">
        <v>46071.0</v>
      </c>
      <c r="E89" s="78">
        <f t="shared" si="2"/>
        <v>46071</v>
      </c>
      <c r="F89" s="79">
        <v>0.875</v>
      </c>
      <c r="G89" s="99" t="s">
        <v>78</v>
      </c>
      <c r="H89" s="80" t="s">
        <v>60</v>
      </c>
      <c r="I89" s="81">
        <v>1.0</v>
      </c>
      <c r="J89" s="82" t="s">
        <v>36</v>
      </c>
      <c r="K89" s="83" t="s">
        <v>3</v>
      </c>
      <c r="L89" s="84" t="s">
        <v>91</v>
      </c>
      <c r="M89" s="85" t="s">
        <v>28</v>
      </c>
      <c r="N89" s="87" t="s">
        <v>42</v>
      </c>
      <c r="O89" s="87" t="s">
        <v>94</v>
      </c>
      <c r="P89" s="101" t="s">
        <v>79</v>
      </c>
      <c r="Q89" s="88" t="s">
        <v>94</v>
      </c>
      <c r="R89" s="89"/>
      <c r="S89" s="90" t="s">
        <v>40</v>
      </c>
      <c r="T89" s="90" t="s">
        <v>44</v>
      </c>
      <c r="U89" s="91" t="str">
        <f t="shared" si="5"/>
        <v>MP M6 v Leixlip Phoenix M1</v>
      </c>
    </row>
    <row r="90">
      <c r="A90" s="94" t="str">
        <f t="shared" si="4"/>
        <v>MensM6HomeViking</v>
      </c>
      <c r="B90" s="98"/>
      <c r="C90" s="76">
        <v>77.0</v>
      </c>
      <c r="D90" s="77">
        <v>46058.0</v>
      </c>
      <c r="E90" s="78">
        <f t="shared" si="2"/>
        <v>46058</v>
      </c>
      <c r="F90" s="79">
        <v>0.7916666666666666</v>
      </c>
      <c r="G90" s="99" t="s">
        <v>78</v>
      </c>
      <c r="H90" s="80" t="s">
        <v>60</v>
      </c>
      <c r="I90" s="81">
        <v>1.0</v>
      </c>
      <c r="J90" s="82" t="s">
        <v>36</v>
      </c>
      <c r="K90" s="83" t="s">
        <v>3</v>
      </c>
      <c r="L90" s="84" t="s">
        <v>91</v>
      </c>
      <c r="M90" s="85" t="s">
        <v>28</v>
      </c>
      <c r="N90" s="86" t="s">
        <v>38</v>
      </c>
      <c r="O90" s="87" t="s">
        <v>88</v>
      </c>
      <c r="P90" s="101" t="s">
        <v>80</v>
      </c>
      <c r="Q90" s="88" t="s">
        <v>3</v>
      </c>
      <c r="R90" s="89"/>
      <c r="S90" s="90" t="s">
        <v>40</v>
      </c>
      <c r="T90" s="90" t="s">
        <v>18</v>
      </c>
      <c r="U90" s="91" t="str">
        <f t="shared" si="5"/>
        <v>MP M6 v Viking M2</v>
      </c>
    </row>
    <row r="91">
      <c r="A91" s="94" t="str">
        <f t="shared" si="4"/>
        <v>MensM6AwayViking</v>
      </c>
      <c r="B91" s="98"/>
      <c r="C91" s="92">
        <v>78.0</v>
      </c>
      <c r="D91" s="77">
        <v>45974.0</v>
      </c>
      <c r="E91" s="78">
        <f t="shared" si="2"/>
        <v>45974</v>
      </c>
      <c r="F91" s="79">
        <v>0.8333333333333334</v>
      </c>
      <c r="G91" s="99" t="s">
        <v>78</v>
      </c>
      <c r="H91" s="80" t="s">
        <v>60</v>
      </c>
      <c r="I91" s="81">
        <v>1.0</v>
      </c>
      <c r="J91" s="82" t="s">
        <v>36</v>
      </c>
      <c r="K91" s="83" t="s">
        <v>3</v>
      </c>
      <c r="L91" s="84" t="s">
        <v>91</v>
      </c>
      <c r="M91" s="85" t="s">
        <v>28</v>
      </c>
      <c r="N91" s="86" t="s">
        <v>42</v>
      </c>
      <c r="O91" s="87" t="s">
        <v>88</v>
      </c>
      <c r="P91" s="101" t="s">
        <v>80</v>
      </c>
      <c r="Q91" s="88" t="s">
        <v>51</v>
      </c>
      <c r="R91" s="89"/>
      <c r="S91" s="90" t="s">
        <v>47</v>
      </c>
      <c r="T91" s="90" t="s">
        <v>44</v>
      </c>
      <c r="U91" s="91" t="str">
        <f t="shared" si="5"/>
        <v>MP M6 v Viking M2</v>
      </c>
    </row>
    <row r="92">
      <c r="A92" s="94" t="str">
        <f t="shared" si="4"/>
        <v>MensM6HomeU.C.D.</v>
      </c>
      <c r="B92" s="98"/>
      <c r="C92" s="76">
        <v>79.0</v>
      </c>
      <c r="D92" s="77">
        <v>46083.0</v>
      </c>
      <c r="E92" s="78">
        <f t="shared" si="2"/>
        <v>46083</v>
      </c>
      <c r="F92" s="79">
        <v>0.7916666666666666</v>
      </c>
      <c r="G92" s="102" t="s">
        <v>78</v>
      </c>
      <c r="H92" s="103" t="s">
        <v>60</v>
      </c>
      <c r="I92" s="81">
        <v>1.0</v>
      </c>
      <c r="J92" s="82" t="s">
        <v>36</v>
      </c>
      <c r="K92" s="83" t="s">
        <v>3</v>
      </c>
      <c r="L92" s="84" t="s">
        <v>91</v>
      </c>
      <c r="M92" s="85" t="s">
        <v>28</v>
      </c>
      <c r="N92" s="87" t="s">
        <v>38</v>
      </c>
      <c r="O92" s="82" t="s">
        <v>67</v>
      </c>
      <c r="P92" s="82" t="s">
        <v>80</v>
      </c>
      <c r="Q92" s="88" t="s">
        <v>3</v>
      </c>
      <c r="R92" s="98"/>
      <c r="S92" s="90" t="s">
        <v>40</v>
      </c>
      <c r="T92" s="90" t="s">
        <v>18</v>
      </c>
      <c r="U92" s="91" t="str">
        <f t="shared" si="5"/>
        <v>MP M6 v U.C.D. M2</v>
      </c>
    </row>
    <row r="93">
      <c r="A93" s="94" t="str">
        <f t="shared" si="4"/>
        <v>MensM6AwayU.C.D.</v>
      </c>
      <c r="B93" s="104"/>
      <c r="C93" s="92">
        <v>80.0</v>
      </c>
      <c r="D93" s="77">
        <v>46063.0</v>
      </c>
      <c r="E93" s="78">
        <f t="shared" si="2"/>
        <v>46063</v>
      </c>
      <c r="F93" s="79">
        <v>0.8333333333333334</v>
      </c>
      <c r="G93" s="102" t="s">
        <v>78</v>
      </c>
      <c r="H93" s="103" t="s">
        <v>60</v>
      </c>
      <c r="I93" s="81">
        <v>1.0</v>
      </c>
      <c r="J93" s="82" t="s">
        <v>36</v>
      </c>
      <c r="K93" s="83" t="s">
        <v>3</v>
      </c>
      <c r="L93" s="84" t="s">
        <v>91</v>
      </c>
      <c r="M93" s="85" t="s">
        <v>28</v>
      </c>
      <c r="N93" s="87" t="s">
        <v>42</v>
      </c>
      <c r="O93" s="82" t="s">
        <v>67</v>
      </c>
      <c r="P93" s="82" t="s">
        <v>80</v>
      </c>
      <c r="Q93" s="88" t="s">
        <v>68</v>
      </c>
      <c r="R93" s="98"/>
      <c r="S93" s="90" t="s">
        <v>40</v>
      </c>
      <c r="T93" s="90" t="s">
        <v>44</v>
      </c>
      <c r="U93" s="91" t="str">
        <f t="shared" si="5"/>
        <v>MP M6 v U.C.D. M2</v>
      </c>
    </row>
    <row r="94">
      <c r="A94" s="94" t="str">
        <f t="shared" si="4"/>
        <v>MensM7HomeHotshots</v>
      </c>
      <c r="B94" s="104"/>
      <c r="C94" s="76">
        <v>81.0</v>
      </c>
      <c r="D94" s="77">
        <v>45990.0</v>
      </c>
      <c r="E94" s="78">
        <f t="shared" si="2"/>
        <v>45990</v>
      </c>
      <c r="F94" s="79">
        <v>0.7916666666666666</v>
      </c>
      <c r="G94" s="102" t="s">
        <v>78</v>
      </c>
      <c r="H94" s="103" t="s">
        <v>60</v>
      </c>
      <c r="I94" s="81">
        <v>3.0</v>
      </c>
      <c r="J94" s="82" t="s">
        <v>36</v>
      </c>
      <c r="K94" s="83" t="s">
        <v>3</v>
      </c>
      <c r="L94" s="84" t="s">
        <v>95</v>
      </c>
      <c r="M94" s="85" t="s">
        <v>28</v>
      </c>
      <c r="N94" s="87" t="s">
        <v>38</v>
      </c>
      <c r="O94" s="82" t="s">
        <v>71</v>
      </c>
      <c r="P94" s="82" t="s">
        <v>79</v>
      </c>
      <c r="Q94" s="88" t="s">
        <v>3</v>
      </c>
      <c r="R94" s="98"/>
      <c r="S94" s="90" t="s">
        <v>40</v>
      </c>
      <c r="T94" s="90" t="s">
        <v>41</v>
      </c>
      <c r="U94" s="91" t="str">
        <f t="shared" si="5"/>
        <v>MP M7 v Hotshots M1</v>
      </c>
    </row>
    <row r="95">
      <c r="A95" s="94" t="str">
        <f t="shared" si="4"/>
        <v>MensM7AwayHotshots</v>
      </c>
      <c r="B95" s="104"/>
      <c r="C95" s="92">
        <v>82.0</v>
      </c>
      <c r="D95" s="77">
        <v>46047.0</v>
      </c>
      <c r="E95" s="78">
        <f t="shared" si="2"/>
        <v>46047</v>
      </c>
      <c r="F95" s="105">
        <v>0.7083333333333334</v>
      </c>
      <c r="G95" s="102" t="s">
        <v>78</v>
      </c>
      <c r="H95" s="103" t="s">
        <v>60</v>
      </c>
      <c r="I95" s="81">
        <v>3.0</v>
      </c>
      <c r="J95" s="82" t="s">
        <v>36</v>
      </c>
      <c r="K95" s="83" t="s">
        <v>3</v>
      </c>
      <c r="L95" s="84" t="s">
        <v>95</v>
      </c>
      <c r="M95" s="85" t="s">
        <v>28</v>
      </c>
      <c r="N95" s="87" t="s">
        <v>42</v>
      </c>
      <c r="O95" s="82" t="s">
        <v>71</v>
      </c>
      <c r="P95" s="82" t="s">
        <v>79</v>
      </c>
      <c r="Q95" s="106" t="s">
        <v>72</v>
      </c>
      <c r="R95" s="98"/>
      <c r="S95" s="90" t="s">
        <v>40</v>
      </c>
      <c r="T95" s="90" t="s">
        <v>44</v>
      </c>
      <c r="U95" s="91" t="str">
        <f t="shared" si="5"/>
        <v>MP M7 v Hotshots M1</v>
      </c>
    </row>
    <row r="96">
      <c r="A96" s="94" t="str">
        <f t="shared" si="4"/>
        <v>MensM7HomeRathmore</v>
      </c>
      <c r="B96" s="104"/>
      <c r="C96" s="76">
        <v>83.0</v>
      </c>
      <c r="D96" s="77">
        <v>46051.0</v>
      </c>
      <c r="E96" s="78">
        <f t="shared" si="2"/>
        <v>46051</v>
      </c>
      <c r="F96" s="79">
        <v>0.8333333333333334</v>
      </c>
      <c r="G96" s="102" t="s">
        <v>78</v>
      </c>
      <c r="H96" s="103" t="s">
        <v>60</v>
      </c>
      <c r="I96" s="81">
        <v>3.0</v>
      </c>
      <c r="J96" s="82" t="s">
        <v>36</v>
      </c>
      <c r="K96" s="83" t="s">
        <v>3</v>
      </c>
      <c r="L96" s="84" t="s">
        <v>95</v>
      </c>
      <c r="M96" s="85" t="s">
        <v>28</v>
      </c>
      <c r="N96" s="87" t="s">
        <v>38</v>
      </c>
      <c r="O96" s="82" t="s">
        <v>96</v>
      </c>
      <c r="P96" s="82" t="s">
        <v>79</v>
      </c>
      <c r="Q96" s="88" t="s">
        <v>3</v>
      </c>
      <c r="R96" s="98"/>
      <c r="S96" s="90" t="s">
        <v>40</v>
      </c>
      <c r="T96" s="90" t="s">
        <v>18</v>
      </c>
      <c r="U96" s="91" t="str">
        <f t="shared" si="5"/>
        <v>MP M7 v Rathmore M1</v>
      </c>
    </row>
    <row r="97">
      <c r="A97" s="94" t="str">
        <f t="shared" si="4"/>
        <v>MensM7AwayRathmore</v>
      </c>
      <c r="B97" s="104"/>
      <c r="C97" s="92">
        <v>84.0</v>
      </c>
      <c r="D97" s="77">
        <v>46071.0</v>
      </c>
      <c r="E97" s="78">
        <f t="shared" si="2"/>
        <v>46071</v>
      </c>
      <c r="F97" s="79">
        <v>0.8333333333333334</v>
      </c>
      <c r="G97" s="102" t="s">
        <v>78</v>
      </c>
      <c r="H97" s="103" t="s">
        <v>60</v>
      </c>
      <c r="I97" s="81">
        <v>3.0</v>
      </c>
      <c r="J97" s="82" t="s">
        <v>36</v>
      </c>
      <c r="K97" s="83" t="s">
        <v>3</v>
      </c>
      <c r="L97" s="84" t="s">
        <v>95</v>
      </c>
      <c r="M97" s="85" t="s">
        <v>28</v>
      </c>
      <c r="N97" s="87" t="s">
        <v>42</v>
      </c>
      <c r="O97" s="82" t="s">
        <v>96</v>
      </c>
      <c r="P97" s="82" t="s">
        <v>79</v>
      </c>
      <c r="Q97" s="88" t="s">
        <v>97</v>
      </c>
      <c r="R97" s="98"/>
      <c r="S97" s="90" t="s">
        <v>40</v>
      </c>
      <c r="T97" s="90" t="s">
        <v>44</v>
      </c>
      <c r="U97" s="91" t="str">
        <f t="shared" si="5"/>
        <v>MP M7 v Rathmore M1</v>
      </c>
    </row>
    <row r="98">
      <c r="A98" s="94" t="str">
        <f t="shared" si="4"/>
        <v>MensM7HomeSmash</v>
      </c>
      <c r="B98" s="104"/>
      <c r="C98" s="76">
        <v>85.0</v>
      </c>
      <c r="D98" s="77">
        <v>45982.0</v>
      </c>
      <c r="E98" s="78">
        <f t="shared" si="2"/>
        <v>45982</v>
      </c>
      <c r="F98" s="79">
        <v>0.7916666666666666</v>
      </c>
      <c r="G98" s="102" t="s">
        <v>78</v>
      </c>
      <c r="H98" s="103" t="s">
        <v>60</v>
      </c>
      <c r="I98" s="81">
        <v>3.0</v>
      </c>
      <c r="J98" s="82" t="s">
        <v>36</v>
      </c>
      <c r="K98" s="83" t="s">
        <v>3</v>
      </c>
      <c r="L98" s="84" t="s">
        <v>95</v>
      </c>
      <c r="M98" s="85" t="s">
        <v>28</v>
      </c>
      <c r="N98" s="87" t="s">
        <v>38</v>
      </c>
      <c r="O98" s="82" t="s">
        <v>98</v>
      </c>
      <c r="P98" s="82" t="s">
        <v>79</v>
      </c>
      <c r="Q98" s="88" t="s">
        <v>3</v>
      </c>
      <c r="R98" s="98"/>
      <c r="S98" s="90" t="s">
        <v>40</v>
      </c>
      <c r="T98" s="90" t="s">
        <v>41</v>
      </c>
      <c r="U98" s="91" t="str">
        <f t="shared" si="5"/>
        <v>MP M7 v Smash M1</v>
      </c>
    </row>
    <row r="99">
      <c r="A99" s="94" t="str">
        <f t="shared" si="4"/>
        <v>MensM7AwaySmash</v>
      </c>
      <c r="B99" s="104"/>
      <c r="C99" s="92">
        <v>86.0</v>
      </c>
      <c r="D99" s="77">
        <v>46001.0</v>
      </c>
      <c r="E99" s="78">
        <f t="shared" si="2"/>
        <v>46001</v>
      </c>
      <c r="F99" s="79">
        <v>0.8333333333333334</v>
      </c>
      <c r="G99" s="102" t="s">
        <v>78</v>
      </c>
      <c r="H99" s="103" t="s">
        <v>60</v>
      </c>
      <c r="I99" s="81">
        <v>3.0</v>
      </c>
      <c r="J99" s="82" t="s">
        <v>36</v>
      </c>
      <c r="K99" s="83" t="s">
        <v>3</v>
      </c>
      <c r="L99" s="84" t="s">
        <v>95</v>
      </c>
      <c r="M99" s="85" t="s">
        <v>28</v>
      </c>
      <c r="N99" s="87" t="s">
        <v>42</v>
      </c>
      <c r="O99" s="82" t="s">
        <v>98</v>
      </c>
      <c r="P99" s="82" t="s">
        <v>79</v>
      </c>
      <c r="Q99" s="88" t="s">
        <v>99</v>
      </c>
      <c r="R99" s="98"/>
      <c r="S99" s="90" t="s">
        <v>40</v>
      </c>
      <c r="T99" s="90" t="s">
        <v>44</v>
      </c>
      <c r="U99" s="91" t="str">
        <f t="shared" si="5"/>
        <v>MP M7 v Smash M1</v>
      </c>
    </row>
    <row r="100">
      <c r="A100" s="94" t="str">
        <f t="shared" si="4"/>
        <v>MensM8HomeKilcullen</v>
      </c>
      <c r="B100" s="104"/>
      <c r="C100" s="76">
        <v>87.0</v>
      </c>
      <c r="D100" s="77">
        <v>46048.0</v>
      </c>
      <c r="E100" s="78">
        <f t="shared" si="2"/>
        <v>46048</v>
      </c>
      <c r="F100" s="79">
        <v>0.7916666666666666</v>
      </c>
      <c r="G100" s="102" t="s">
        <v>78</v>
      </c>
      <c r="H100" s="103" t="s">
        <v>60</v>
      </c>
      <c r="I100" s="81">
        <v>5.0</v>
      </c>
      <c r="J100" s="82" t="s">
        <v>36</v>
      </c>
      <c r="K100" s="83" t="s">
        <v>3</v>
      </c>
      <c r="L100" s="84" t="s">
        <v>100</v>
      </c>
      <c r="M100" s="85" t="s">
        <v>28</v>
      </c>
      <c r="N100" s="87" t="s">
        <v>38</v>
      </c>
      <c r="O100" s="82" t="s">
        <v>101</v>
      </c>
      <c r="P100" s="82" t="s">
        <v>79</v>
      </c>
      <c r="Q100" s="88" t="s">
        <v>3</v>
      </c>
      <c r="R100" s="98"/>
      <c r="S100" s="90" t="s">
        <v>40</v>
      </c>
      <c r="T100" s="90" t="s">
        <v>18</v>
      </c>
      <c r="U100" s="91" t="str">
        <f t="shared" si="5"/>
        <v>MP M8 v Kilcullen M1</v>
      </c>
    </row>
    <row r="101" ht="16.5" customHeight="1">
      <c r="A101" s="94" t="str">
        <f t="shared" si="4"/>
        <v>MensM8AwayKilcullen</v>
      </c>
      <c r="B101" s="104"/>
      <c r="C101" s="92">
        <v>88.0</v>
      </c>
      <c r="D101" s="77">
        <v>46073.0</v>
      </c>
      <c r="E101" s="78">
        <f t="shared" si="2"/>
        <v>46073</v>
      </c>
      <c r="F101" s="79">
        <v>0.875</v>
      </c>
      <c r="G101" s="102" t="s">
        <v>78</v>
      </c>
      <c r="H101" s="103" t="s">
        <v>60</v>
      </c>
      <c r="I101" s="81">
        <v>5.0</v>
      </c>
      <c r="J101" s="82" t="s">
        <v>36</v>
      </c>
      <c r="K101" s="83" t="s">
        <v>3</v>
      </c>
      <c r="L101" s="84" t="s">
        <v>100</v>
      </c>
      <c r="M101" s="85" t="s">
        <v>28</v>
      </c>
      <c r="N101" s="87" t="s">
        <v>42</v>
      </c>
      <c r="O101" s="82" t="s">
        <v>101</v>
      </c>
      <c r="P101" s="82" t="s">
        <v>79</v>
      </c>
      <c r="Q101" s="88" t="s">
        <v>102</v>
      </c>
      <c r="R101" s="98"/>
      <c r="S101" s="90" t="s">
        <v>40</v>
      </c>
      <c r="T101" s="90" t="s">
        <v>44</v>
      </c>
      <c r="U101" s="91" t="str">
        <f t="shared" si="5"/>
        <v>MP M8 v Kilcullen M1</v>
      </c>
    </row>
    <row r="102" ht="16.5" customHeight="1">
      <c r="A102" s="94" t="str">
        <f t="shared" si="4"/>
        <v>MensM8HomeOld School</v>
      </c>
      <c r="B102" s="104"/>
      <c r="C102" s="76">
        <v>89.0</v>
      </c>
      <c r="D102" s="77">
        <v>45974.0</v>
      </c>
      <c r="E102" s="78">
        <f t="shared" si="2"/>
        <v>45974</v>
      </c>
      <c r="F102" s="79">
        <v>0.7916666666666666</v>
      </c>
      <c r="G102" s="102" t="s">
        <v>78</v>
      </c>
      <c r="H102" s="103" t="s">
        <v>60</v>
      </c>
      <c r="I102" s="81">
        <v>5.0</v>
      </c>
      <c r="J102" s="82" t="s">
        <v>36</v>
      </c>
      <c r="K102" s="83" t="s">
        <v>3</v>
      </c>
      <c r="L102" s="84" t="s">
        <v>100</v>
      </c>
      <c r="M102" s="85" t="s">
        <v>28</v>
      </c>
      <c r="N102" s="87" t="s">
        <v>38</v>
      </c>
      <c r="O102" s="82" t="s">
        <v>57</v>
      </c>
      <c r="P102" s="82" t="s">
        <v>80</v>
      </c>
      <c r="Q102" s="88" t="s">
        <v>3</v>
      </c>
      <c r="R102" s="98"/>
      <c r="S102" s="90" t="s">
        <v>47</v>
      </c>
      <c r="T102" s="90" t="s">
        <v>41</v>
      </c>
      <c r="U102" s="91" t="str">
        <f t="shared" si="5"/>
        <v>MP M8 v Old School M2</v>
      </c>
    </row>
    <row r="103" ht="16.5" customHeight="1">
      <c r="A103" s="94" t="str">
        <f t="shared" si="4"/>
        <v>MensM8AwayOld School</v>
      </c>
      <c r="B103" s="104"/>
      <c r="C103" s="92">
        <v>90.0</v>
      </c>
      <c r="D103" s="77">
        <v>46092.0</v>
      </c>
      <c r="E103" s="78">
        <f t="shared" si="2"/>
        <v>46092</v>
      </c>
      <c r="F103" s="79">
        <v>0.8333333333333334</v>
      </c>
      <c r="G103" s="102" t="s">
        <v>78</v>
      </c>
      <c r="H103" s="103" t="s">
        <v>60</v>
      </c>
      <c r="I103" s="81">
        <v>5.0</v>
      </c>
      <c r="J103" s="82" t="s">
        <v>36</v>
      </c>
      <c r="K103" s="83" t="s">
        <v>3</v>
      </c>
      <c r="L103" s="84" t="s">
        <v>100</v>
      </c>
      <c r="M103" s="85" t="s">
        <v>28</v>
      </c>
      <c r="N103" s="87" t="s">
        <v>42</v>
      </c>
      <c r="O103" s="82" t="s">
        <v>57</v>
      </c>
      <c r="P103" s="82" t="s">
        <v>80</v>
      </c>
      <c r="Q103" s="88" t="s">
        <v>51</v>
      </c>
      <c r="R103" s="98"/>
      <c r="S103" s="90" t="s">
        <v>40</v>
      </c>
      <c r="T103" s="90" t="s">
        <v>44</v>
      </c>
      <c r="U103" s="91" t="str">
        <f t="shared" si="5"/>
        <v>MP M8 v Old School M2</v>
      </c>
    </row>
    <row r="104">
      <c r="A104" s="94" t="str">
        <f t="shared" si="4"/>
        <v>MensM8HomeSt. Brigids</v>
      </c>
      <c r="B104" s="104"/>
      <c r="C104" s="76">
        <v>91.0</v>
      </c>
      <c r="D104" s="77">
        <v>46063.0</v>
      </c>
      <c r="E104" s="78">
        <f t="shared" si="2"/>
        <v>46063</v>
      </c>
      <c r="F104" s="79">
        <v>0.7916666666666666</v>
      </c>
      <c r="G104" s="102" t="s">
        <v>78</v>
      </c>
      <c r="H104" s="103" t="s">
        <v>60</v>
      </c>
      <c r="I104" s="81">
        <v>5.0</v>
      </c>
      <c r="J104" s="82" t="s">
        <v>36</v>
      </c>
      <c r="K104" s="83" t="s">
        <v>3</v>
      </c>
      <c r="L104" s="84" t="s">
        <v>100</v>
      </c>
      <c r="M104" s="85" t="s">
        <v>28</v>
      </c>
      <c r="N104" s="87" t="s">
        <v>38</v>
      </c>
      <c r="O104" s="82" t="s">
        <v>74</v>
      </c>
      <c r="P104" s="82" t="s">
        <v>79</v>
      </c>
      <c r="Q104" s="88" t="s">
        <v>3</v>
      </c>
      <c r="R104" s="98"/>
      <c r="S104" s="90" t="s">
        <v>40</v>
      </c>
      <c r="T104" s="90" t="s">
        <v>18</v>
      </c>
      <c r="U104" s="91" t="str">
        <f t="shared" si="5"/>
        <v>MP M8 v St. Brigids M1</v>
      </c>
    </row>
    <row r="105" ht="16.5" customHeight="1">
      <c r="A105" s="94" t="str">
        <f t="shared" si="4"/>
        <v>MensM8AwaySt. Brigids</v>
      </c>
      <c r="B105" s="104"/>
      <c r="C105" s="92">
        <v>92.0</v>
      </c>
      <c r="D105" s="77">
        <v>46007.0</v>
      </c>
      <c r="E105" s="78">
        <f t="shared" si="2"/>
        <v>46007</v>
      </c>
      <c r="F105" s="79">
        <v>0.8020833333333334</v>
      </c>
      <c r="G105" s="102" t="s">
        <v>78</v>
      </c>
      <c r="H105" s="103" t="s">
        <v>60</v>
      </c>
      <c r="I105" s="81">
        <v>5.0</v>
      </c>
      <c r="J105" s="82" t="s">
        <v>36</v>
      </c>
      <c r="K105" s="83" t="s">
        <v>3</v>
      </c>
      <c r="L105" s="84" t="s">
        <v>100</v>
      </c>
      <c r="M105" s="85" t="s">
        <v>28</v>
      </c>
      <c r="N105" s="87" t="s">
        <v>42</v>
      </c>
      <c r="O105" s="82" t="s">
        <v>74</v>
      </c>
      <c r="P105" s="82" t="s">
        <v>79</v>
      </c>
      <c r="Q105" s="88" t="s">
        <v>75</v>
      </c>
      <c r="R105" s="98"/>
      <c r="S105" s="90" t="s">
        <v>40</v>
      </c>
      <c r="T105" s="90" t="s">
        <v>44</v>
      </c>
      <c r="U105" s="91" t="str">
        <f t="shared" si="5"/>
        <v>MP M8 v St. Brigids M1</v>
      </c>
    </row>
    <row r="106" ht="16.5" customHeight="1">
      <c r="A106" s="94" t="str">
        <f t="shared" si="4"/>
        <v>MensM9HomeBaltinglass</v>
      </c>
      <c r="B106" s="104"/>
      <c r="C106" s="76">
        <v>93.0</v>
      </c>
      <c r="D106" s="77">
        <v>45999.0</v>
      </c>
      <c r="E106" s="78">
        <f t="shared" si="2"/>
        <v>45999</v>
      </c>
      <c r="F106" s="79">
        <v>0.7916666666666666</v>
      </c>
      <c r="G106" s="99" t="s">
        <v>78</v>
      </c>
      <c r="H106" s="103" t="s">
        <v>69</v>
      </c>
      <c r="I106" s="81">
        <v>1.0</v>
      </c>
      <c r="J106" s="82" t="s">
        <v>36</v>
      </c>
      <c r="K106" s="83" t="s">
        <v>3</v>
      </c>
      <c r="L106" s="84" t="s">
        <v>103</v>
      </c>
      <c r="M106" s="85" t="s">
        <v>28</v>
      </c>
      <c r="N106" s="87" t="s">
        <v>38</v>
      </c>
      <c r="O106" s="82" t="s">
        <v>104</v>
      </c>
      <c r="P106" s="82" t="s">
        <v>79</v>
      </c>
      <c r="Q106" s="88" t="s">
        <v>3</v>
      </c>
      <c r="R106" s="98"/>
      <c r="S106" s="90" t="s">
        <v>40</v>
      </c>
      <c r="T106" s="90" t="s">
        <v>41</v>
      </c>
      <c r="U106" s="91" t="str">
        <f t="shared" si="5"/>
        <v>MP M9 v Baltinglass M1</v>
      </c>
    </row>
    <row r="107" ht="16.5" customHeight="1">
      <c r="A107" s="94" t="str">
        <f t="shared" si="4"/>
        <v>MensM9AwayBaltinglass</v>
      </c>
      <c r="B107" s="104"/>
      <c r="C107" s="92">
        <v>94.0</v>
      </c>
      <c r="D107" s="77">
        <v>46055.0</v>
      </c>
      <c r="E107" s="78">
        <f t="shared" si="2"/>
        <v>46055</v>
      </c>
      <c r="F107" s="79">
        <v>0.8333333333333334</v>
      </c>
      <c r="G107" s="102" t="s">
        <v>78</v>
      </c>
      <c r="H107" s="80" t="s">
        <v>69</v>
      </c>
      <c r="I107" s="81">
        <v>1.0</v>
      </c>
      <c r="J107" s="82" t="s">
        <v>36</v>
      </c>
      <c r="K107" s="83" t="s">
        <v>3</v>
      </c>
      <c r="L107" s="84" t="s">
        <v>103</v>
      </c>
      <c r="M107" s="85" t="s">
        <v>28</v>
      </c>
      <c r="N107" s="87" t="s">
        <v>42</v>
      </c>
      <c r="O107" s="82" t="s">
        <v>104</v>
      </c>
      <c r="P107" s="82" t="s">
        <v>79</v>
      </c>
      <c r="Q107" s="88" t="s">
        <v>104</v>
      </c>
      <c r="R107" s="98"/>
      <c r="S107" s="90" t="s">
        <v>40</v>
      </c>
      <c r="T107" s="90" t="s">
        <v>44</v>
      </c>
      <c r="U107" s="91" t="str">
        <f t="shared" si="5"/>
        <v>MP M9 v Baltinglass M1</v>
      </c>
    </row>
    <row r="108" ht="16.5" customHeight="1">
      <c r="A108" s="94" t="str">
        <f t="shared" si="4"/>
        <v>MensM9HomeKerala</v>
      </c>
      <c r="B108" s="104"/>
      <c r="C108" s="76">
        <v>95.0</v>
      </c>
      <c r="D108" s="77">
        <v>46002.0</v>
      </c>
      <c r="E108" s="78">
        <f t="shared" si="2"/>
        <v>46002</v>
      </c>
      <c r="F108" s="79">
        <v>0.8333333333333334</v>
      </c>
      <c r="G108" s="102" t="s">
        <v>78</v>
      </c>
      <c r="H108" s="80" t="s">
        <v>69</v>
      </c>
      <c r="I108" s="81">
        <v>1.0</v>
      </c>
      <c r="J108" s="82" t="s">
        <v>36</v>
      </c>
      <c r="K108" s="83" t="s">
        <v>3</v>
      </c>
      <c r="L108" s="84" t="s">
        <v>103</v>
      </c>
      <c r="M108" s="85" t="s">
        <v>28</v>
      </c>
      <c r="N108" s="87" t="s">
        <v>38</v>
      </c>
      <c r="O108" s="82" t="s">
        <v>105</v>
      </c>
      <c r="P108" s="82" t="s">
        <v>79</v>
      </c>
      <c r="Q108" s="88" t="s">
        <v>3</v>
      </c>
      <c r="R108" s="98"/>
      <c r="S108" s="90" t="s">
        <v>40</v>
      </c>
      <c r="T108" s="90" t="s">
        <v>41</v>
      </c>
      <c r="U108" s="91" t="str">
        <f t="shared" si="5"/>
        <v>MP M9 v Kerala M1</v>
      </c>
    </row>
    <row r="109" ht="16.5" customHeight="1">
      <c r="A109" s="94" t="str">
        <f t="shared" si="4"/>
        <v>MensM9AwayKerala</v>
      </c>
      <c r="B109" s="104"/>
      <c r="C109" s="92">
        <v>96.0</v>
      </c>
      <c r="D109" s="77">
        <v>45988.0</v>
      </c>
      <c r="E109" s="78">
        <f t="shared" si="2"/>
        <v>45988</v>
      </c>
      <c r="F109" s="79">
        <v>0.8333333333333334</v>
      </c>
      <c r="G109" s="102" t="s">
        <v>78</v>
      </c>
      <c r="H109" s="80" t="s">
        <v>69</v>
      </c>
      <c r="I109" s="81">
        <v>1.0</v>
      </c>
      <c r="J109" s="82" t="s">
        <v>36</v>
      </c>
      <c r="K109" s="83" t="s">
        <v>3</v>
      </c>
      <c r="L109" s="84" t="s">
        <v>103</v>
      </c>
      <c r="M109" s="85" t="s">
        <v>28</v>
      </c>
      <c r="N109" s="87" t="s">
        <v>42</v>
      </c>
      <c r="O109" s="82" t="s">
        <v>105</v>
      </c>
      <c r="P109" s="82" t="s">
        <v>79</v>
      </c>
      <c r="Q109" s="88" t="s">
        <v>106</v>
      </c>
      <c r="R109" s="98"/>
      <c r="S109" s="90" t="s">
        <v>40</v>
      </c>
      <c r="T109" s="90" t="s">
        <v>44</v>
      </c>
      <c r="U109" s="91" t="str">
        <f t="shared" si="5"/>
        <v>MP M9 v Kerala M1</v>
      </c>
    </row>
    <row r="110" ht="16.5" customHeight="1">
      <c r="A110" s="94" t="str">
        <f t="shared" si="4"/>
        <v>MensM9HomeLeixlip Phoenix</v>
      </c>
      <c r="B110" s="104"/>
      <c r="C110" s="76">
        <v>97.0</v>
      </c>
      <c r="D110" s="77">
        <v>46062.0</v>
      </c>
      <c r="E110" s="78">
        <f t="shared" si="2"/>
        <v>46062</v>
      </c>
      <c r="F110" s="79">
        <v>0.7916666666666666</v>
      </c>
      <c r="G110" s="102" t="s">
        <v>78</v>
      </c>
      <c r="H110" s="80" t="s">
        <v>69</v>
      </c>
      <c r="I110" s="81">
        <v>1.0</v>
      </c>
      <c r="J110" s="82" t="s">
        <v>36</v>
      </c>
      <c r="K110" s="83" t="s">
        <v>3</v>
      </c>
      <c r="L110" s="84" t="s">
        <v>103</v>
      </c>
      <c r="M110" s="85" t="s">
        <v>28</v>
      </c>
      <c r="N110" s="87" t="s">
        <v>38</v>
      </c>
      <c r="O110" s="82" t="s">
        <v>94</v>
      </c>
      <c r="P110" s="82" t="s">
        <v>80</v>
      </c>
      <c r="Q110" s="88" t="s">
        <v>3</v>
      </c>
      <c r="R110" s="98"/>
      <c r="S110" s="90" t="s">
        <v>40</v>
      </c>
      <c r="T110" s="90" t="s">
        <v>18</v>
      </c>
      <c r="U110" s="91" t="str">
        <f t="shared" si="5"/>
        <v>MP M9 v Leixlip Phoenix M2</v>
      </c>
    </row>
    <row r="111" ht="16.5" customHeight="1">
      <c r="A111" s="94" t="str">
        <f t="shared" si="4"/>
        <v>MensM9AwayLeixlip Phoenix</v>
      </c>
      <c r="B111" s="104"/>
      <c r="C111" s="92">
        <v>98.0</v>
      </c>
      <c r="D111" s="77">
        <v>46090.0</v>
      </c>
      <c r="E111" s="78">
        <f t="shared" si="2"/>
        <v>46090</v>
      </c>
      <c r="F111" s="79">
        <v>0.7916666666666666</v>
      </c>
      <c r="G111" s="102" t="s">
        <v>78</v>
      </c>
      <c r="H111" s="80" t="s">
        <v>69</v>
      </c>
      <c r="I111" s="81">
        <v>1.0</v>
      </c>
      <c r="J111" s="82" t="s">
        <v>36</v>
      </c>
      <c r="K111" s="83" t="s">
        <v>3</v>
      </c>
      <c r="L111" s="84" t="s">
        <v>103</v>
      </c>
      <c r="M111" s="85" t="s">
        <v>28</v>
      </c>
      <c r="N111" s="87" t="s">
        <v>42</v>
      </c>
      <c r="O111" s="82" t="s">
        <v>94</v>
      </c>
      <c r="P111" s="82" t="s">
        <v>80</v>
      </c>
      <c r="Q111" s="88" t="s">
        <v>94</v>
      </c>
      <c r="R111" s="98"/>
      <c r="S111" s="90" t="s">
        <v>40</v>
      </c>
      <c r="T111" s="90" t="s">
        <v>44</v>
      </c>
      <c r="U111" s="91" t="str">
        <f t="shared" si="5"/>
        <v>MP M9 v Leixlip Phoenix M2</v>
      </c>
    </row>
    <row r="112" ht="16.5" customHeight="1">
      <c r="A112" s="94" t="str">
        <f t="shared" si="4"/>
        <v>MensM9HomeViking</v>
      </c>
      <c r="B112" s="104"/>
      <c r="C112" s="76">
        <v>99.0</v>
      </c>
      <c r="D112" s="77">
        <v>46046.0</v>
      </c>
      <c r="E112" s="78">
        <f t="shared" si="2"/>
        <v>46046</v>
      </c>
      <c r="F112" s="79">
        <v>0.75</v>
      </c>
      <c r="G112" s="102" t="s">
        <v>78</v>
      </c>
      <c r="H112" s="80" t="s">
        <v>69</v>
      </c>
      <c r="I112" s="81">
        <v>1.0</v>
      </c>
      <c r="J112" s="82" t="s">
        <v>36</v>
      </c>
      <c r="K112" s="83" t="s">
        <v>3</v>
      </c>
      <c r="L112" s="84" t="s">
        <v>103</v>
      </c>
      <c r="M112" s="85" t="s">
        <v>28</v>
      </c>
      <c r="N112" s="87" t="s">
        <v>38</v>
      </c>
      <c r="O112" s="82" t="s">
        <v>88</v>
      </c>
      <c r="P112" s="82" t="s">
        <v>81</v>
      </c>
      <c r="Q112" s="88" t="s">
        <v>3</v>
      </c>
      <c r="R112" s="98"/>
      <c r="S112" s="90" t="s">
        <v>40</v>
      </c>
      <c r="T112" s="90" t="s">
        <v>18</v>
      </c>
      <c r="U112" s="91" t="str">
        <f t="shared" si="5"/>
        <v>MP M9 v Viking M3</v>
      </c>
    </row>
    <row r="113" ht="16.5" customHeight="1">
      <c r="A113" s="94" t="str">
        <f t="shared" si="4"/>
        <v>MensM9AwayViking</v>
      </c>
      <c r="B113" s="104"/>
      <c r="C113" s="92">
        <v>100.0</v>
      </c>
      <c r="D113" s="77">
        <v>46081.0</v>
      </c>
      <c r="E113" s="78">
        <f t="shared" si="2"/>
        <v>46081</v>
      </c>
      <c r="F113" s="79">
        <v>0.8333333333333334</v>
      </c>
      <c r="G113" s="102" t="s">
        <v>78</v>
      </c>
      <c r="H113" s="80" t="s">
        <v>69</v>
      </c>
      <c r="I113" s="81">
        <v>1.0</v>
      </c>
      <c r="J113" s="82" t="s">
        <v>36</v>
      </c>
      <c r="K113" s="83" t="s">
        <v>3</v>
      </c>
      <c r="L113" s="84" t="s">
        <v>103</v>
      </c>
      <c r="M113" s="85" t="s">
        <v>28</v>
      </c>
      <c r="N113" s="87" t="s">
        <v>42</v>
      </c>
      <c r="O113" s="82" t="s">
        <v>88</v>
      </c>
      <c r="P113" s="82" t="s">
        <v>81</v>
      </c>
      <c r="Q113" s="88" t="s">
        <v>51</v>
      </c>
      <c r="R113" s="98"/>
      <c r="S113" s="90" t="s">
        <v>40</v>
      </c>
      <c r="T113" s="90" t="s">
        <v>44</v>
      </c>
      <c r="U113" s="91" t="str">
        <f t="shared" si="5"/>
        <v>MP M9 v Viking M3</v>
      </c>
    </row>
    <row r="114" ht="16.5" customHeight="1">
      <c r="A114" s="94" t="str">
        <f t="shared" si="4"/>
        <v>MixedX1HomeLaochra</v>
      </c>
      <c r="B114" s="104"/>
      <c r="C114" s="76">
        <v>101.0</v>
      </c>
      <c r="D114" s="77">
        <v>46062.0</v>
      </c>
      <c r="E114" s="78">
        <f t="shared" si="2"/>
        <v>46062</v>
      </c>
      <c r="F114" s="79">
        <v>0.875</v>
      </c>
      <c r="G114" s="102" t="s">
        <v>107</v>
      </c>
      <c r="H114" s="80" t="s">
        <v>35</v>
      </c>
      <c r="I114" s="81">
        <v>1.0</v>
      </c>
      <c r="J114" s="82" t="s">
        <v>36</v>
      </c>
      <c r="K114" s="83" t="s">
        <v>3</v>
      </c>
      <c r="L114" s="84" t="s">
        <v>108</v>
      </c>
      <c r="M114" s="85" t="s">
        <v>28</v>
      </c>
      <c r="N114" s="87" t="s">
        <v>38</v>
      </c>
      <c r="O114" s="82" t="s">
        <v>58</v>
      </c>
      <c r="P114" s="82" t="s">
        <v>108</v>
      </c>
      <c r="Q114" s="88" t="s">
        <v>3</v>
      </c>
      <c r="R114" s="98"/>
      <c r="S114" s="90" t="s">
        <v>40</v>
      </c>
      <c r="T114" s="90" t="s">
        <v>18</v>
      </c>
      <c r="U114" s="91" t="str">
        <f t="shared" si="5"/>
        <v>MP X1 v Laochra X1</v>
      </c>
    </row>
    <row r="115" ht="16.5" customHeight="1">
      <c r="A115" s="94" t="str">
        <f t="shared" si="4"/>
        <v>MixedX1AwayLaochra</v>
      </c>
      <c r="B115" s="104"/>
      <c r="C115" s="92">
        <v>102.0</v>
      </c>
      <c r="D115" s="77">
        <v>46086.0</v>
      </c>
      <c r="E115" s="78">
        <f t="shared" si="2"/>
        <v>46086</v>
      </c>
      <c r="F115" s="79">
        <v>0.8333333333333334</v>
      </c>
      <c r="G115" s="102" t="s">
        <v>107</v>
      </c>
      <c r="H115" s="80" t="s">
        <v>35</v>
      </c>
      <c r="I115" s="81">
        <v>1.0</v>
      </c>
      <c r="J115" s="82" t="s">
        <v>36</v>
      </c>
      <c r="K115" s="83" t="s">
        <v>3</v>
      </c>
      <c r="L115" s="84" t="s">
        <v>108</v>
      </c>
      <c r="M115" s="85" t="s">
        <v>28</v>
      </c>
      <c r="N115" s="87" t="s">
        <v>42</v>
      </c>
      <c r="O115" s="82" t="s">
        <v>58</v>
      </c>
      <c r="P115" s="82" t="s">
        <v>108</v>
      </c>
      <c r="Q115" s="88" t="s">
        <v>59</v>
      </c>
      <c r="R115" s="98"/>
      <c r="S115" s="90" t="s">
        <v>40</v>
      </c>
      <c r="T115" s="90" t="s">
        <v>44</v>
      </c>
      <c r="U115" s="91" t="str">
        <f t="shared" si="5"/>
        <v>MP X1 v Laochra X1</v>
      </c>
    </row>
    <row r="116" ht="16.5" customHeight="1">
      <c r="A116" s="74" t="s">
        <v>109</v>
      </c>
      <c r="B116" s="104"/>
      <c r="C116" s="76">
        <v>103.0</v>
      </c>
      <c r="D116" s="107"/>
      <c r="E116" s="108"/>
      <c r="F116" s="109"/>
      <c r="G116" s="102" t="s">
        <v>107</v>
      </c>
      <c r="H116" s="80" t="s">
        <v>35</v>
      </c>
      <c r="I116" s="81">
        <v>1.0</v>
      </c>
      <c r="J116" s="82" t="s">
        <v>36</v>
      </c>
      <c r="K116" s="83" t="s">
        <v>3</v>
      </c>
      <c r="L116" s="84" t="s">
        <v>108</v>
      </c>
      <c r="M116" s="85" t="s">
        <v>28</v>
      </c>
      <c r="N116" s="87" t="s">
        <v>38</v>
      </c>
      <c r="O116" s="82" t="s">
        <v>3</v>
      </c>
      <c r="P116" s="82" t="s">
        <v>110</v>
      </c>
      <c r="Q116" s="88" t="s">
        <v>3</v>
      </c>
      <c r="R116" s="98"/>
      <c r="S116" s="90" t="s">
        <v>111</v>
      </c>
      <c r="T116" s="90" t="s">
        <v>18</v>
      </c>
      <c r="U116" s="91" t="s">
        <v>112</v>
      </c>
    </row>
    <row r="117" ht="16.5" customHeight="1">
      <c r="A117" s="94" t="str">
        <f t="shared" ref="A117:A130" si="6">G117&amp;L117&amp;N117&amp;O117</f>
        <v>MixedX1AwayMount Pleasant</v>
      </c>
      <c r="B117" s="104"/>
      <c r="C117" s="92">
        <v>104.0</v>
      </c>
      <c r="D117" s="77">
        <v>45958.0</v>
      </c>
      <c r="E117" s="78">
        <f t="shared" ref="E117:E130" si="7">D117</f>
        <v>45958</v>
      </c>
      <c r="F117" s="79">
        <v>0.7916666666666666</v>
      </c>
      <c r="G117" s="102" t="s">
        <v>107</v>
      </c>
      <c r="H117" s="80" t="s">
        <v>35</v>
      </c>
      <c r="I117" s="81">
        <v>1.0</v>
      </c>
      <c r="J117" s="82" t="s">
        <v>36</v>
      </c>
      <c r="K117" s="83" t="s">
        <v>3</v>
      </c>
      <c r="L117" s="84" t="s">
        <v>108</v>
      </c>
      <c r="M117" s="85" t="s">
        <v>28</v>
      </c>
      <c r="N117" s="87" t="s">
        <v>42</v>
      </c>
      <c r="O117" s="82" t="s">
        <v>3</v>
      </c>
      <c r="P117" s="82" t="s">
        <v>110</v>
      </c>
      <c r="Q117" s="88" t="s">
        <v>3</v>
      </c>
      <c r="R117" s="98"/>
      <c r="S117" s="90" t="s">
        <v>47</v>
      </c>
      <c r="T117" s="90" t="s">
        <v>44</v>
      </c>
      <c r="U117" s="91" t="str">
        <f t="shared" ref="U117:U130" si="8">"MP "&amp;L117&amp;" "&amp;M117&amp;" "&amp;O117&amp;" "&amp;P117</f>
        <v>MP X1 v Mount Pleasant X3</v>
      </c>
    </row>
    <row r="118" ht="16.5" customHeight="1">
      <c r="A118" s="94" t="str">
        <f t="shared" si="6"/>
        <v>MixedX1HomePembroke</v>
      </c>
      <c r="B118" s="104"/>
      <c r="C118" s="76">
        <v>105.0</v>
      </c>
      <c r="D118" s="77">
        <v>46051.0</v>
      </c>
      <c r="E118" s="78">
        <f t="shared" si="7"/>
        <v>46051</v>
      </c>
      <c r="F118" s="79">
        <v>0.7916666666666666</v>
      </c>
      <c r="G118" s="102" t="s">
        <v>107</v>
      </c>
      <c r="H118" s="80" t="s">
        <v>35</v>
      </c>
      <c r="I118" s="81">
        <v>1.0</v>
      </c>
      <c r="J118" s="82" t="s">
        <v>36</v>
      </c>
      <c r="K118" s="83" t="s">
        <v>3</v>
      </c>
      <c r="L118" s="84" t="s">
        <v>108</v>
      </c>
      <c r="M118" s="85" t="s">
        <v>28</v>
      </c>
      <c r="N118" s="87" t="s">
        <v>38</v>
      </c>
      <c r="O118" s="82" t="s">
        <v>52</v>
      </c>
      <c r="P118" s="82" t="s">
        <v>113</v>
      </c>
      <c r="Q118" s="88" t="s">
        <v>3</v>
      </c>
      <c r="R118" s="98"/>
      <c r="S118" s="90" t="s">
        <v>40</v>
      </c>
      <c r="T118" s="90" t="s">
        <v>18</v>
      </c>
      <c r="U118" s="91" t="str">
        <f t="shared" si="8"/>
        <v>MP X1 v Pembroke X2</v>
      </c>
    </row>
    <row r="119" ht="16.5" customHeight="1">
      <c r="A119" s="94" t="str">
        <f t="shared" si="6"/>
        <v>MixedX1AwayPembroke</v>
      </c>
      <c r="B119" s="104"/>
      <c r="C119" s="92">
        <v>106.0</v>
      </c>
      <c r="D119" s="77">
        <v>46111.0</v>
      </c>
      <c r="E119" s="78">
        <f t="shared" si="7"/>
        <v>46111</v>
      </c>
      <c r="F119" s="79">
        <v>0.8333333333333334</v>
      </c>
      <c r="G119" s="102" t="s">
        <v>107</v>
      </c>
      <c r="H119" s="80" t="s">
        <v>35</v>
      </c>
      <c r="I119" s="81">
        <v>1.0</v>
      </c>
      <c r="J119" s="82" t="s">
        <v>36</v>
      </c>
      <c r="K119" s="83" t="s">
        <v>3</v>
      </c>
      <c r="L119" s="84" t="s">
        <v>108</v>
      </c>
      <c r="M119" s="85" t="s">
        <v>28</v>
      </c>
      <c r="N119" s="87" t="s">
        <v>42</v>
      </c>
      <c r="O119" s="82" t="s">
        <v>52</v>
      </c>
      <c r="P119" s="82" t="s">
        <v>113</v>
      </c>
      <c r="Q119" s="88" t="s">
        <v>51</v>
      </c>
      <c r="R119" s="98"/>
      <c r="S119" s="90" t="s">
        <v>40</v>
      </c>
      <c r="T119" s="90" t="s">
        <v>44</v>
      </c>
      <c r="U119" s="91" t="str">
        <f t="shared" si="8"/>
        <v>MP X1 v Pembroke X2</v>
      </c>
    </row>
    <row r="120" ht="16.5" customHeight="1">
      <c r="A120" s="94" t="str">
        <f t="shared" si="6"/>
        <v>MixedX2HomeAilesbury</v>
      </c>
      <c r="B120" s="104"/>
      <c r="C120" s="76">
        <v>107.0</v>
      </c>
      <c r="D120" s="77">
        <v>45972.0</v>
      </c>
      <c r="E120" s="78">
        <f t="shared" si="7"/>
        <v>45972</v>
      </c>
      <c r="F120" s="79">
        <v>0.7916666666666666</v>
      </c>
      <c r="G120" s="102" t="s">
        <v>107</v>
      </c>
      <c r="H120" s="80" t="s">
        <v>35</v>
      </c>
      <c r="I120" s="81">
        <v>2.0</v>
      </c>
      <c r="J120" s="82" t="s">
        <v>36</v>
      </c>
      <c r="K120" s="83" t="s">
        <v>3</v>
      </c>
      <c r="L120" s="84" t="s">
        <v>113</v>
      </c>
      <c r="M120" s="85" t="s">
        <v>28</v>
      </c>
      <c r="N120" s="87" t="s">
        <v>38</v>
      </c>
      <c r="O120" s="82" t="s">
        <v>39</v>
      </c>
      <c r="P120" s="82" t="s">
        <v>108</v>
      </c>
      <c r="Q120" s="88" t="s">
        <v>3</v>
      </c>
      <c r="R120" s="98"/>
      <c r="S120" s="90" t="s">
        <v>47</v>
      </c>
      <c r="T120" s="90" t="s">
        <v>41</v>
      </c>
      <c r="U120" s="91" t="str">
        <f t="shared" si="8"/>
        <v>MP X2 v Ailesbury X1</v>
      </c>
    </row>
    <row r="121" ht="16.5" customHeight="1">
      <c r="A121" s="94" t="str">
        <f t="shared" si="6"/>
        <v>MixedX2AwayAilesbury</v>
      </c>
      <c r="B121" s="104"/>
      <c r="C121" s="92">
        <v>108.0</v>
      </c>
      <c r="D121" s="77">
        <v>45960.0</v>
      </c>
      <c r="E121" s="78">
        <f t="shared" si="7"/>
        <v>45960</v>
      </c>
      <c r="F121" s="79">
        <v>0.7916666666666666</v>
      </c>
      <c r="G121" s="102" t="s">
        <v>107</v>
      </c>
      <c r="H121" s="80" t="s">
        <v>35</v>
      </c>
      <c r="I121" s="81">
        <v>2.0</v>
      </c>
      <c r="J121" s="82" t="s">
        <v>36</v>
      </c>
      <c r="K121" s="83" t="s">
        <v>3</v>
      </c>
      <c r="L121" s="84" t="s">
        <v>113</v>
      </c>
      <c r="M121" s="85" t="s">
        <v>28</v>
      </c>
      <c r="N121" s="87" t="s">
        <v>42</v>
      </c>
      <c r="O121" s="82" t="s">
        <v>39</v>
      </c>
      <c r="P121" s="82" t="s">
        <v>108</v>
      </c>
      <c r="Q121" s="88" t="s">
        <v>43</v>
      </c>
      <c r="R121" s="98"/>
      <c r="S121" s="90" t="s">
        <v>47</v>
      </c>
      <c r="T121" s="90" t="s">
        <v>44</v>
      </c>
      <c r="U121" s="91" t="str">
        <f t="shared" si="8"/>
        <v>MP X2 v Ailesbury X1</v>
      </c>
    </row>
    <row r="122" ht="16.5" customHeight="1">
      <c r="A122" s="94" t="str">
        <f t="shared" si="6"/>
        <v>MixedX2HomePembroke</v>
      </c>
      <c r="B122" s="104"/>
      <c r="C122" s="76">
        <v>109.0</v>
      </c>
      <c r="D122" s="77">
        <v>45992.0</v>
      </c>
      <c r="E122" s="78">
        <f t="shared" si="7"/>
        <v>45992</v>
      </c>
      <c r="F122" s="79">
        <v>0.7916666666666666</v>
      </c>
      <c r="G122" s="102" t="s">
        <v>107</v>
      </c>
      <c r="H122" s="80" t="s">
        <v>35</v>
      </c>
      <c r="I122" s="81">
        <v>2.0</v>
      </c>
      <c r="J122" s="82" t="s">
        <v>36</v>
      </c>
      <c r="K122" s="83" t="s">
        <v>3</v>
      </c>
      <c r="L122" s="84" t="s">
        <v>113</v>
      </c>
      <c r="M122" s="85" t="s">
        <v>28</v>
      </c>
      <c r="N122" s="87" t="s">
        <v>38</v>
      </c>
      <c r="O122" s="82" t="s">
        <v>52</v>
      </c>
      <c r="P122" s="82" t="s">
        <v>108</v>
      </c>
      <c r="Q122" s="88" t="s">
        <v>3</v>
      </c>
      <c r="R122" s="98"/>
      <c r="S122" s="90" t="s">
        <v>40</v>
      </c>
      <c r="T122" s="90" t="s">
        <v>41</v>
      </c>
      <c r="U122" s="91" t="str">
        <f t="shared" si="8"/>
        <v>MP X2 v Pembroke X1</v>
      </c>
    </row>
    <row r="123" ht="16.5" customHeight="1">
      <c r="A123" s="94" t="str">
        <f t="shared" si="6"/>
        <v>MixedX2AwayPembroke</v>
      </c>
      <c r="B123" s="104"/>
      <c r="C123" s="92">
        <v>110.0</v>
      </c>
      <c r="D123" s="77">
        <v>46086.0</v>
      </c>
      <c r="E123" s="78">
        <f t="shared" si="7"/>
        <v>46086</v>
      </c>
      <c r="F123" s="79">
        <v>0.8333333333333334</v>
      </c>
      <c r="G123" s="102" t="s">
        <v>107</v>
      </c>
      <c r="H123" s="80" t="s">
        <v>35</v>
      </c>
      <c r="I123" s="81">
        <v>2.0</v>
      </c>
      <c r="J123" s="82" t="s">
        <v>36</v>
      </c>
      <c r="K123" s="83" t="s">
        <v>3</v>
      </c>
      <c r="L123" s="84" t="s">
        <v>113</v>
      </c>
      <c r="M123" s="85" t="s">
        <v>28</v>
      </c>
      <c r="N123" s="87" t="s">
        <v>42</v>
      </c>
      <c r="O123" s="82" t="s">
        <v>52</v>
      </c>
      <c r="P123" s="82" t="s">
        <v>108</v>
      </c>
      <c r="Q123" s="88" t="s">
        <v>51</v>
      </c>
      <c r="R123" s="98"/>
      <c r="S123" s="90" t="s">
        <v>40</v>
      </c>
      <c r="T123" s="90" t="s">
        <v>44</v>
      </c>
      <c r="U123" s="91" t="str">
        <f t="shared" si="8"/>
        <v>MP X2 v Pembroke X1</v>
      </c>
    </row>
    <row r="124" ht="16.5" customHeight="1">
      <c r="A124" s="94" t="str">
        <f t="shared" si="6"/>
        <v>MixedX2HomePortarlington</v>
      </c>
      <c r="B124" s="104"/>
      <c r="C124" s="76">
        <v>111.0</v>
      </c>
      <c r="D124" s="77">
        <v>46000.0</v>
      </c>
      <c r="E124" s="78">
        <f t="shared" si="7"/>
        <v>46000</v>
      </c>
      <c r="F124" s="79">
        <v>0.8333333333333334</v>
      </c>
      <c r="G124" s="102" t="s">
        <v>107</v>
      </c>
      <c r="H124" s="80" t="s">
        <v>35</v>
      </c>
      <c r="I124" s="81">
        <v>2.0</v>
      </c>
      <c r="J124" s="82" t="s">
        <v>36</v>
      </c>
      <c r="K124" s="83" t="s">
        <v>3</v>
      </c>
      <c r="L124" s="84" t="s">
        <v>113</v>
      </c>
      <c r="M124" s="85" t="s">
        <v>28</v>
      </c>
      <c r="N124" s="87" t="s">
        <v>38</v>
      </c>
      <c r="O124" s="82" t="s">
        <v>114</v>
      </c>
      <c r="P124" s="82" t="s">
        <v>108</v>
      </c>
      <c r="Q124" s="88" t="s">
        <v>3</v>
      </c>
      <c r="R124" s="98"/>
      <c r="S124" s="90" t="s">
        <v>40</v>
      </c>
      <c r="T124" s="90" t="s">
        <v>41</v>
      </c>
      <c r="U124" s="91" t="str">
        <f t="shared" si="8"/>
        <v>MP X2 v Portarlington X1</v>
      </c>
    </row>
    <row r="125" ht="16.5" customHeight="1">
      <c r="A125" s="94" t="str">
        <f t="shared" si="6"/>
        <v>MixedX2AwayPortarlington</v>
      </c>
      <c r="B125" s="104"/>
      <c r="C125" s="92">
        <v>112.0</v>
      </c>
      <c r="D125" s="77">
        <v>46036.0</v>
      </c>
      <c r="E125" s="78">
        <f t="shared" si="7"/>
        <v>46036</v>
      </c>
      <c r="F125" s="79">
        <v>0.8333333333333334</v>
      </c>
      <c r="G125" s="102" t="s">
        <v>107</v>
      </c>
      <c r="H125" s="80" t="s">
        <v>35</v>
      </c>
      <c r="I125" s="81">
        <v>2.0</v>
      </c>
      <c r="J125" s="82" t="s">
        <v>36</v>
      </c>
      <c r="K125" s="83" t="s">
        <v>3</v>
      </c>
      <c r="L125" s="84" t="s">
        <v>113</v>
      </c>
      <c r="M125" s="85" t="s">
        <v>28</v>
      </c>
      <c r="N125" s="87" t="s">
        <v>42</v>
      </c>
      <c r="O125" s="82" t="s">
        <v>114</v>
      </c>
      <c r="P125" s="82" t="s">
        <v>108</v>
      </c>
      <c r="Q125" s="88" t="s">
        <v>114</v>
      </c>
      <c r="R125" s="98"/>
      <c r="S125" s="90" t="s">
        <v>40</v>
      </c>
      <c r="T125" s="90" t="s">
        <v>44</v>
      </c>
      <c r="U125" s="91" t="str">
        <f t="shared" si="8"/>
        <v>MP X2 v Portarlington X1</v>
      </c>
    </row>
    <row r="126" ht="16.5" customHeight="1">
      <c r="A126" s="94" t="str">
        <f t="shared" si="6"/>
        <v>MixedX2HomeTrinity College</v>
      </c>
      <c r="B126" s="104"/>
      <c r="C126" s="76">
        <v>113.0</v>
      </c>
      <c r="D126" s="77">
        <v>45978.0</v>
      </c>
      <c r="E126" s="78">
        <f t="shared" si="7"/>
        <v>45978</v>
      </c>
      <c r="F126" s="79">
        <v>0.8333333333333334</v>
      </c>
      <c r="G126" s="102" t="s">
        <v>107</v>
      </c>
      <c r="H126" s="80" t="s">
        <v>35</v>
      </c>
      <c r="I126" s="81">
        <v>2.0</v>
      </c>
      <c r="J126" s="82" t="s">
        <v>36</v>
      </c>
      <c r="K126" s="83" t="s">
        <v>3</v>
      </c>
      <c r="L126" s="84" t="s">
        <v>113</v>
      </c>
      <c r="M126" s="85" t="s">
        <v>28</v>
      </c>
      <c r="N126" s="87" t="s">
        <v>38</v>
      </c>
      <c r="O126" s="82" t="s">
        <v>115</v>
      </c>
      <c r="P126" s="82" t="s">
        <v>108</v>
      </c>
      <c r="Q126" s="88" t="s">
        <v>3</v>
      </c>
      <c r="R126" s="98"/>
      <c r="S126" s="90" t="s">
        <v>40</v>
      </c>
      <c r="T126" s="90" t="s">
        <v>41</v>
      </c>
      <c r="U126" s="91" t="str">
        <f t="shared" si="8"/>
        <v>MP X2 v Trinity College X1</v>
      </c>
    </row>
    <row r="127" ht="16.5" customHeight="1">
      <c r="A127" s="94" t="str">
        <f t="shared" si="6"/>
        <v>MixedX2AwayTrinity College</v>
      </c>
      <c r="B127" s="104"/>
      <c r="C127" s="92">
        <v>114.0</v>
      </c>
      <c r="D127" s="77">
        <v>46050.0</v>
      </c>
      <c r="E127" s="78">
        <f t="shared" si="7"/>
        <v>46050</v>
      </c>
      <c r="F127" s="79">
        <v>0.8333333333333334</v>
      </c>
      <c r="G127" s="102" t="s">
        <v>107</v>
      </c>
      <c r="H127" s="80" t="s">
        <v>35</v>
      </c>
      <c r="I127" s="81">
        <v>2.0</v>
      </c>
      <c r="J127" s="82" t="s">
        <v>36</v>
      </c>
      <c r="K127" s="83" t="s">
        <v>3</v>
      </c>
      <c r="L127" s="84" t="s">
        <v>113</v>
      </c>
      <c r="M127" s="85" t="s">
        <v>28</v>
      </c>
      <c r="N127" s="87" t="s">
        <v>42</v>
      </c>
      <c r="O127" s="82" t="s">
        <v>115</v>
      </c>
      <c r="P127" s="82" t="s">
        <v>108</v>
      </c>
      <c r="Q127" s="88" t="s">
        <v>116</v>
      </c>
      <c r="R127" s="98"/>
      <c r="S127" s="90" t="s">
        <v>40</v>
      </c>
      <c r="T127" s="90" t="s">
        <v>44</v>
      </c>
      <c r="U127" s="91" t="str">
        <f t="shared" si="8"/>
        <v>MP X2 v Trinity College X1</v>
      </c>
    </row>
    <row r="128" ht="16.5" customHeight="1">
      <c r="A128" s="94" t="str">
        <f t="shared" si="6"/>
        <v>MixedX3HomeLaochra</v>
      </c>
      <c r="B128" s="104"/>
      <c r="C128" s="76">
        <v>115.0</v>
      </c>
      <c r="D128" s="77">
        <v>46049.0</v>
      </c>
      <c r="E128" s="78">
        <f t="shared" si="7"/>
        <v>46049</v>
      </c>
      <c r="F128" s="79">
        <v>0.875</v>
      </c>
      <c r="G128" s="102" t="s">
        <v>107</v>
      </c>
      <c r="H128" s="80" t="s">
        <v>35</v>
      </c>
      <c r="I128" s="81">
        <v>1.0</v>
      </c>
      <c r="J128" s="82" t="s">
        <v>36</v>
      </c>
      <c r="K128" s="83" t="s">
        <v>3</v>
      </c>
      <c r="L128" s="84" t="s">
        <v>110</v>
      </c>
      <c r="M128" s="85" t="s">
        <v>28</v>
      </c>
      <c r="N128" s="87" t="s">
        <v>38</v>
      </c>
      <c r="O128" s="82" t="s">
        <v>58</v>
      </c>
      <c r="P128" s="82" t="s">
        <v>108</v>
      </c>
      <c r="Q128" s="88" t="s">
        <v>3</v>
      </c>
      <c r="R128" s="98"/>
      <c r="S128" s="90" t="s">
        <v>40</v>
      </c>
      <c r="T128" s="90" t="s">
        <v>18</v>
      </c>
      <c r="U128" s="91" t="str">
        <f t="shared" si="8"/>
        <v>MP X3 v Laochra X1</v>
      </c>
    </row>
    <row r="129" ht="16.5" customHeight="1">
      <c r="A129" s="94" t="str">
        <f t="shared" si="6"/>
        <v>MixedX3AwayLaochra</v>
      </c>
      <c r="B129" s="104"/>
      <c r="C129" s="92">
        <v>116.0</v>
      </c>
      <c r="D129" s="77">
        <v>46101.0</v>
      </c>
      <c r="E129" s="78">
        <f t="shared" si="7"/>
        <v>46101</v>
      </c>
      <c r="F129" s="79">
        <v>0.8333333333333334</v>
      </c>
      <c r="G129" s="102" t="s">
        <v>107</v>
      </c>
      <c r="H129" s="80" t="s">
        <v>35</v>
      </c>
      <c r="I129" s="81">
        <v>1.0</v>
      </c>
      <c r="J129" s="82" t="s">
        <v>36</v>
      </c>
      <c r="K129" s="83" t="s">
        <v>3</v>
      </c>
      <c r="L129" s="84" t="s">
        <v>110</v>
      </c>
      <c r="M129" s="85" t="s">
        <v>28</v>
      </c>
      <c r="N129" s="87" t="s">
        <v>42</v>
      </c>
      <c r="O129" s="82" t="s">
        <v>58</v>
      </c>
      <c r="P129" s="82" t="s">
        <v>108</v>
      </c>
      <c r="Q129" s="88" t="s">
        <v>59</v>
      </c>
      <c r="R129" s="98"/>
      <c r="S129" s="90" t="s">
        <v>40</v>
      </c>
      <c r="T129" s="90" t="s">
        <v>44</v>
      </c>
      <c r="U129" s="91" t="str">
        <f t="shared" si="8"/>
        <v>MP X3 v Laochra X1</v>
      </c>
    </row>
    <row r="130" ht="16.5" customHeight="1">
      <c r="A130" s="94" t="str">
        <f t="shared" si="6"/>
        <v>MixedX3HomeMount Pleasant</v>
      </c>
      <c r="B130" s="104"/>
      <c r="C130" s="76">
        <v>117.0</v>
      </c>
      <c r="D130" s="77">
        <v>45958.0</v>
      </c>
      <c r="E130" s="78">
        <f t="shared" si="7"/>
        <v>45958</v>
      </c>
      <c r="F130" s="79">
        <v>0.7916666666666666</v>
      </c>
      <c r="G130" s="102" t="s">
        <v>107</v>
      </c>
      <c r="H130" s="80" t="s">
        <v>35</v>
      </c>
      <c r="I130" s="81">
        <v>1.0</v>
      </c>
      <c r="J130" s="82" t="s">
        <v>36</v>
      </c>
      <c r="K130" s="83" t="s">
        <v>3</v>
      </c>
      <c r="L130" s="84" t="s">
        <v>110</v>
      </c>
      <c r="M130" s="85" t="s">
        <v>28</v>
      </c>
      <c r="N130" s="87" t="s">
        <v>38</v>
      </c>
      <c r="O130" s="82" t="s">
        <v>3</v>
      </c>
      <c r="P130" s="82" t="s">
        <v>108</v>
      </c>
      <c r="Q130" s="88" t="s">
        <v>3</v>
      </c>
      <c r="R130" s="98"/>
      <c r="S130" s="90" t="s">
        <v>47</v>
      </c>
      <c r="T130" s="90" t="s">
        <v>41</v>
      </c>
      <c r="U130" s="91" t="str">
        <f t="shared" si="8"/>
        <v>MP X3 v Mount Pleasant X1</v>
      </c>
    </row>
    <row r="131" ht="16.5" customHeight="1">
      <c r="A131" s="74" t="s">
        <v>117</v>
      </c>
      <c r="B131" s="104"/>
      <c r="C131" s="92">
        <v>118.0</v>
      </c>
      <c r="D131" s="107"/>
      <c r="E131" s="108"/>
      <c r="F131" s="109"/>
      <c r="G131" s="102" t="s">
        <v>107</v>
      </c>
      <c r="H131" s="80" t="s">
        <v>35</v>
      </c>
      <c r="I131" s="81">
        <v>1.0</v>
      </c>
      <c r="J131" s="82" t="s">
        <v>36</v>
      </c>
      <c r="K131" s="83" t="s">
        <v>3</v>
      </c>
      <c r="L131" s="84" t="s">
        <v>110</v>
      </c>
      <c r="M131" s="85" t="s">
        <v>28</v>
      </c>
      <c r="N131" s="87" t="s">
        <v>42</v>
      </c>
      <c r="O131" s="82" t="s">
        <v>3</v>
      </c>
      <c r="P131" s="82" t="s">
        <v>108</v>
      </c>
      <c r="Q131" s="106"/>
      <c r="R131" s="98"/>
      <c r="S131" s="90" t="s">
        <v>111</v>
      </c>
      <c r="T131" s="90" t="s">
        <v>44</v>
      </c>
      <c r="U131" s="91" t="s">
        <v>118</v>
      </c>
    </row>
    <row r="132" ht="16.5" customHeight="1">
      <c r="A132" s="94" t="str">
        <f t="shared" ref="A132:A169" si="9">G132&amp;L132&amp;N132&amp;O132</f>
        <v>MixedX3HomePembroke</v>
      </c>
      <c r="B132" s="104"/>
      <c r="C132" s="76">
        <v>119.0</v>
      </c>
      <c r="D132" s="77">
        <v>45981.0</v>
      </c>
      <c r="E132" s="78">
        <f t="shared" ref="E132:E201" si="10">D132</f>
        <v>45981</v>
      </c>
      <c r="F132" s="79">
        <v>0.875</v>
      </c>
      <c r="G132" s="102" t="s">
        <v>107</v>
      </c>
      <c r="H132" s="80">
        <v>1.0</v>
      </c>
      <c r="I132" s="81">
        <v>1.0</v>
      </c>
      <c r="J132" s="82" t="s">
        <v>36</v>
      </c>
      <c r="K132" s="83" t="s">
        <v>3</v>
      </c>
      <c r="L132" s="84" t="s">
        <v>110</v>
      </c>
      <c r="M132" s="85" t="s">
        <v>28</v>
      </c>
      <c r="N132" s="87" t="s">
        <v>38</v>
      </c>
      <c r="O132" s="82" t="s">
        <v>52</v>
      </c>
      <c r="P132" s="82" t="s">
        <v>113</v>
      </c>
      <c r="Q132" s="88" t="s">
        <v>3</v>
      </c>
      <c r="R132" s="98"/>
      <c r="S132" s="90" t="s">
        <v>40</v>
      </c>
      <c r="T132" s="90" t="s">
        <v>41</v>
      </c>
      <c r="U132" s="91" t="str">
        <f t="shared" ref="U132:U201" si="11">"MP "&amp;L132&amp;" "&amp;M132&amp;" "&amp;O132&amp;" "&amp;P132</f>
        <v>MP X3 v Pembroke X2</v>
      </c>
    </row>
    <row r="133" ht="16.5" customHeight="1">
      <c r="A133" s="94" t="str">
        <f t="shared" si="9"/>
        <v>MixedX3AwayPembroke</v>
      </c>
      <c r="B133" s="104"/>
      <c r="C133" s="92">
        <v>120.0</v>
      </c>
      <c r="D133" s="77">
        <v>46097.0</v>
      </c>
      <c r="E133" s="78">
        <f t="shared" si="10"/>
        <v>46097</v>
      </c>
      <c r="F133" s="79">
        <v>0.8333333333333334</v>
      </c>
      <c r="G133" s="102" t="s">
        <v>107</v>
      </c>
      <c r="H133" s="80" t="s">
        <v>35</v>
      </c>
      <c r="I133" s="81">
        <v>1.0</v>
      </c>
      <c r="J133" s="82" t="s">
        <v>36</v>
      </c>
      <c r="K133" s="83" t="s">
        <v>3</v>
      </c>
      <c r="L133" s="84" t="s">
        <v>110</v>
      </c>
      <c r="M133" s="85" t="s">
        <v>28</v>
      </c>
      <c r="N133" s="87" t="s">
        <v>42</v>
      </c>
      <c r="O133" s="82" t="s">
        <v>52</v>
      </c>
      <c r="P133" s="82" t="s">
        <v>113</v>
      </c>
      <c r="Q133" s="88" t="s">
        <v>51</v>
      </c>
      <c r="R133" s="98"/>
      <c r="S133" s="90" t="s">
        <v>40</v>
      </c>
      <c r="T133" s="90" t="s">
        <v>44</v>
      </c>
      <c r="U133" s="91" t="str">
        <f t="shared" si="11"/>
        <v>MP X3 v Pembroke X2</v>
      </c>
    </row>
    <row r="134" ht="16.5" customHeight="1">
      <c r="A134" s="94" t="str">
        <f t="shared" si="9"/>
        <v>MixedX4HomeAilesbury</v>
      </c>
      <c r="B134" s="104"/>
      <c r="C134" s="76">
        <v>121.0</v>
      </c>
      <c r="D134" s="77">
        <v>46035.0</v>
      </c>
      <c r="E134" s="78">
        <f t="shared" si="10"/>
        <v>46035</v>
      </c>
      <c r="F134" s="79">
        <v>0.7916666666666666</v>
      </c>
      <c r="G134" s="102" t="s">
        <v>107</v>
      </c>
      <c r="H134" s="80" t="s">
        <v>53</v>
      </c>
      <c r="I134" s="81">
        <v>1.0</v>
      </c>
      <c r="J134" s="82" t="s">
        <v>36</v>
      </c>
      <c r="K134" s="83" t="s">
        <v>3</v>
      </c>
      <c r="L134" s="84" t="s">
        <v>119</v>
      </c>
      <c r="M134" s="85" t="s">
        <v>28</v>
      </c>
      <c r="N134" s="87" t="s">
        <v>38</v>
      </c>
      <c r="O134" s="82" t="s">
        <v>39</v>
      </c>
      <c r="P134" s="82" t="s">
        <v>113</v>
      </c>
      <c r="Q134" s="88" t="s">
        <v>3</v>
      </c>
      <c r="R134" s="98"/>
      <c r="S134" s="90" t="s">
        <v>40</v>
      </c>
      <c r="T134" s="90" t="s">
        <v>41</v>
      </c>
      <c r="U134" s="91" t="str">
        <f t="shared" si="11"/>
        <v>MP X4 v Ailesbury X2</v>
      </c>
    </row>
    <row r="135" ht="16.5" customHeight="1">
      <c r="A135" s="94" t="str">
        <f t="shared" si="9"/>
        <v>MixedX4AwayAilesbury</v>
      </c>
      <c r="B135" s="104"/>
      <c r="C135" s="92">
        <v>122.0</v>
      </c>
      <c r="D135" s="77">
        <v>46065.0</v>
      </c>
      <c r="E135" s="78">
        <f t="shared" si="10"/>
        <v>46065</v>
      </c>
      <c r="F135" s="79">
        <v>0.7916666666666666</v>
      </c>
      <c r="G135" s="102" t="s">
        <v>107</v>
      </c>
      <c r="H135" s="80" t="s">
        <v>53</v>
      </c>
      <c r="I135" s="81">
        <v>1.0</v>
      </c>
      <c r="J135" s="82" t="s">
        <v>36</v>
      </c>
      <c r="K135" s="83" t="s">
        <v>3</v>
      </c>
      <c r="L135" s="84" t="s">
        <v>119</v>
      </c>
      <c r="M135" s="85" t="s">
        <v>28</v>
      </c>
      <c r="N135" s="87" t="s">
        <v>42</v>
      </c>
      <c r="O135" s="82" t="s">
        <v>39</v>
      </c>
      <c r="P135" s="82" t="s">
        <v>113</v>
      </c>
      <c r="Q135" s="88" t="s">
        <v>43</v>
      </c>
      <c r="R135" s="98"/>
      <c r="S135" s="90" t="s">
        <v>40</v>
      </c>
      <c r="T135" s="90" t="s">
        <v>44</v>
      </c>
      <c r="U135" s="91" t="str">
        <f t="shared" si="11"/>
        <v>MP X4 v Ailesbury X2</v>
      </c>
    </row>
    <row r="136" ht="16.5" customHeight="1">
      <c r="A136" s="94" t="str">
        <f t="shared" si="9"/>
        <v>MixedX4HomeKADCA</v>
      </c>
      <c r="B136" s="104"/>
      <c r="C136" s="76">
        <v>123.0</v>
      </c>
      <c r="D136" s="77">
        <v>46042.0</v>
      </c>
      <c r="E136" s="78">
        <f t="shared" si="10"/>
        <v>46042</v>
      </c>
      <c r="F136" s="79">
        <v>0.875</v>
      </c>
      <c r="G136" s="102" t="s">
        <v>107</v>
      </c>
      <c r="H136" s="80" t="s">
        <v>53</v>
      </c>
      <c r="I136" s="81">
        <v>1.0</v>
      </c>
      <c r="J136" s="82" t="s">
        <v>36</v>
      </c>
      <c r="K136" s="83" t="s">
        <v>3</v>
      </c>
      <c r="L136" s="84" t="s">
        <v>119</v>
      </c>
      <c r="M136" s="85" t="s">
        <v>28</v>
      </c>
      <c r="N136" s="87" t="s">
        <v>38</v>
      </c>
      <c r="O136" s="82" t="s">
        <v>55</v>
      </c>
      <c r="P136" s="82" t="s">
        <v>113</v>
      </c>
      <c r="Q136" s="88" t="s">
        <v>3</v>
      </c>
      <c r="R136" s="98"/>
      <c r="S136" s="90" t="s">
        <v>40</v>
      </c>
      <c r="T136" s="90" t="s">
        <v>18</v>
      </c>
      <c r="U136" s="91" t="str">
        <f t="shared" si="11"/>
        <v>MP X4 v KADCA X2</v>
      </c>
    </row>
    <row r="137" ht="16.5" customHeight="1">
      <c r="A137" s="94" t="str">
        <f t="shared" si="9"/>
        <v>MixedX4AwayKADCA</v>
      </c>
      <c r="B137" s="104"/>
      <c r="C137" s="92">
        <v>124.0</v>
      </c>
      <c r="D137" s="77">
        <v>46100.0</v>
      </c>
      <c r="E137" s="78">
        <f t="shared" si="10"/>
        <v>46100</v>
      </c>
      <c r="F137" s="79">
        <v>0.875</v>
      </c>
      <c r="G137" s="102" t="s">
        <v>107</v>
      </c>
      <c r="H137" s="80" t="s">
        <v>53</v>
      </c>
      <c r="I137" s="81">
        <v>1.0</v>
      </c>
      <c r="J137" s="82" t="s">
        <v>36</v>
      </c>
      <c r="K137" s="83" t="s">
        <v>3</v>
      </c>
      <c r="L137" s="84" t="s">
        <v>119</v>
      </c>
      <c r="M137" s="85" t="s">
        <v>28</v>
      </c>
      <c r="N137" s="87" t="s">
        <v>42</v>
      </c>
      <c r="O137" s="82" t="s">
        <v>55</v>
      </c>
      <c r="P137" s="82" t="s">
        <v>113</v>
      </c>
      <c r="Q137" s="88" t="s">
        <v>56</v>
      </c>
      <c r="R137" s="98"/>
      <c r="S137" s="90" t="s">
        <v>40</v>
      </c>
      <c r="T137" s="90" t="s">
        <v>44</v>
      </c>
      <c r="U137" s="91" t="str">
        <f t="shared" si="11"/>
        <v>MP X4 v KADCA X2</v>
      </c>
    </row>
    <row r="138" ht="16.5" customHeight="1">
      <c r="A138" s="94" t="str">
        <f t="shared" si="9"/>
        <v>MixedX4HomeOld School</v>
      </c>
      <c r="B138" s="104"/>
      <c r="C138" s="76">
        <v>125.0</v>
      </c>
      <c r="D138" s="77">
        <v>45988.0</v>
      </c>
      <c r="E138" s="78">
        <f t="shared" si="10"/>
        <v>45988</v>
      </c>
      <c r="F138" s="79">
        <v>0.7916666666666666</v>
      </c>
      <c r="G138" s="102" t="s">
        <v>107</v>
      </c>
      <c r="H138" s="80" t="s">
        <v>53</v>
      </c>
      <c r="I138" s="81">
        <v>1.0</v>
      </c>
      <c r="J138" s="82" t="s">
        <v>36</v>
      </c>
      <c r="K138" s="83" t="s">
        <v>3</v>
      </c>
      <c r="L138" s="84" t="s">
        <v>119</v>
      </c>
      <c r="M138" s="85" t="s">
        <v>28</v>
      </c>
      <c r="N138" s="87" t="s">
        <v>38</v>
      </c>
      <c r="O138" s="82" t="s">
        <v>57</v>
      </c>
      <c r="P138" s="82" t="s">
        <v>108</v>
      </c>
      <c r="Q138" s="88" t="s">
        <v>3</v>
      </c>
      <c r="R138" s="98"/>
      <c r="S138" s="90" t="s">
        <v>40</v>
      </c>
      <c r="T138" s="90" t="s">
        <v>41</v>
      </c>
      <c r="U138" s="91" t="str">
        <f t="shared" si="11"/>
        <v>MP X4 v Old School X1</v>
      </c>
    </row>
    <row r="139" ht="16.5" customHeight="1">
      <c r="A139" s="94" t="str">
        <f t="shared" si="9"/>
        <v>MixedX4AwayOld School</v>
      </c>
      <c r="B139" s="104"/>
      <c r="C139" s="92">
        <v>126.0</v>
      </c>
      <c r="D139" s="77">
        <v>46078.0</v>
      </c>
      <c r="E139" s="78">
        <f t="shared" si="10"/>
        <v>46078</v>
      </c>
      <c r="F139" s="79">
        <v>0.8333333333333334</v>
      </c>
      <c r="G139" s="102" t="s">
        <v>107</v>
      </c>
      <c r="H139" s="80" t="s">
        <v>53</v>
      </c>
      <c r="I139" s="81">
        <v>1.0</v>
      </c>
      <c r="J139" s="82" t="s">
        <v>36</v>
      </c>
      <c r="K139" s="83" t="s">
        <v>3</v>
      </c>
      <c r="L139" s="84" t="s">
        <v>119</v>
      </c>
      <c r="M139" s="85" t="s">
        <v>28</v>
      </c>
      <c r="N139" s="87" t="s">
        <v>42</v>
      </c>
      <c r="O139" s="82" t="s">
        <v>57</v>
      </c>
      <c r="P139" s="82" t="s">
        <v>108</v>
      </c>
      <c r="Q139" s="88" t="s">
        <v>51</v>
      </c>
      <c r="R139" s="98"/>
      <c r="S139" s="90" t="s">
        <v>40</v>
      </c>
      <c r="T139" s="90" t="s">
        <v>44</v>
      </c>
      <c r="U139" s="91" t="str">
        <f t="shared" si="11"/>
        <v>MP X4 v Old School X1</v>
      </c>
    </row>
    <row r="140" ht="16.5" customHeight="1">
      <c r="A140" s="94" t="str">
        <f t="shared" si="9"/>
        <v>MixedX5HomeAilesbury</v>
      </c>
      <c r="B140" s="104"/>
      <c r="C140" s="76">
        <v>127.0</v>
      </c>
      <c r="D140" s="77">
        <v>46048.0</v>
      </c>
      <c r="E140" s="78">
        <f t="shared" si="10"/>
        <v>46048</v>
      </c>
      <c r="F140" s="79">
        <v>0.7916666666666666</v>
      </c>
      <c r="G140" s="102" t="s">
        <v>107</v>
      </c>
      <c r="H140" s="80" t="s">
        <v>53</v>
      </c>
      <c r="I140" s="81">
        <v>2.0</v>
      </c>
      <c r="J140" s="82" t="s">
        <v>36</v>
      </c>
      <c r="K140" s="83" t="s">
        <v>3</v>
      </c>
      <c r="L140" s="84" t="s">
        <v>120</v>
      </c>
      <c r="M140" s="85" t="s">
        <v>28</v>
      </c>
      <c r="N140" s="87" t="s">
        <v>38</v>
      </c>
      <c r="O140" s="82" t="s">
        <v>39</v>
      </c>
      <c r="P140" s="82" t="s">
        <v>110</v>
      </c>
      <c r="Q140" s="88" t="s">
        <v>3</v>
      </c>
      <c r="R140" s="98"/>
      <c r="S140" s="90" t="s">
        <v>40</v>
      </c>
      <c r="T140" s="90" t="s">
        <v>18</v>
      </c>
      <c r="U140" s="91" t="str">
        <f t="shared" si="11"/>
        <v>MP X5 v Ailesbury X3</v>
      </c>
    </row>
    <row r="141" ht="16.5" customHeight="1">
      <c r="A141" s="94" t="str">
        <f t="shared" si="9"/>
        <v>MixedX5AwayAilesbury</v>
      </c>
      <c r="B141" s="104"/>
      <c r="C141" s="92">
        <v>128.0</v>
      </c>
      <c r="D141" s="77">
        <v>46072.0</v>
      </c>
      <c r="E141" s="78">
        <f t="shared" si="10"/>
        <v>46072</v>
      </c>
      <c r="F141" s="79">
        <v>0.7916666666666666</v>
      </c>
      <c r="G141" s="102" t="s">
        <v>107</v>
      </c>
      <c r="H141" s="80" t="s">
        <v>53</v>
      </c>
      <c r="I141" s="81">
        <v>2.0</v>
      </c>
      <c r="J141" s="82" t="s">
        <v>36</v>
      </c>
      <c r="K141" s="83" t="s">
        <v>3</v>
      </c>
      <c r="L141" s="84" t="s">
        <v>120</v>
      </c>
      <c r="M141" s="85" t="s">
        <v>28</v>
      </c>
      <c r="N141" s="87" t="s">
        <v>42</v>
      </c>
      <c r="O141" s="82" t="s">
        <v>39</v>
      </c>
      <c r="P141" s="82" t="s">
        <v>110</v>
      </c>
      <c r="Q141" s="88" t="s">
        <v>43</v>
      </c>
      <c r="R141" s="98"/>
      <c r="S141" s="90" t="s">
        <v>40</v>
      </c>
      <c r="T141" s="90" t="s">
        <v>44</v>
      </c>
      <c r="U141" s="91" t="str">
        <f t="shared" si="11"/>
        <v>MP X5 v Ailesbury X3</v>
      </c>
    </row>
    <row r="142" ht="16.5" customHeight="1">
      <c r="A142" s="94" t="str">
        <f t="shared" si="9"/>
        <v>MixedX5HomeOld School</v>
      </c>
      <c r="B142" s="104"/>
      <c r="C142" s="76">
        <v>129.0</v>
      </c>
      <c r="D142" s="77">
        <v>46093.0</v>
      </c>
      <c r="E142" s="78">
        <f t="shared" si="10"/>
        <v>46093</v>
      </c>
      <c r="F142" s="79">
        <v>0.7916666666666666</v>
      </c>
      <c r="G142" s="102" t="s">
        <v>107</v>
      </c>
      <c r="H142" s="80" t="s">
        <v>53</v>
      </c>
      <c r="I142" s="81">
        <v>2.0</v>
      </c>
      <c r="J142" s="82" t="s">
        <v>36</v>
      </c>
      <c r="K142" s="83" t="s">
        <v>3</v>
      </c>
      <c r="L142" s="84" t="s">
        <v>120</v>
      </c>
      <c r="M142" s="85" t="s">
        <v>28</v>
      </c>
      <c r="N142" s="87" t="s">
        <v>38</v>
      </c>
      <c r="O142" s="82" t="s">
        <v>57</v>
      </c>
      <c r="P142" s="82" t="s">
        <v>113</v>
      </c>
      <c r="Q142" s="88" t="s">
        <v>3</v>
      </c>
      <c r="R142" s="98"/>
      <c r="S142" s="90" t="s">
        <v>40</v>
      </c>
      <c r="T142" s="90" t="s">
        <v>18</v>
      </c>
      <c r="U142" s="91" t="str">
        <f t="shared" si="11"/>
        <v>MP X5 v Old School X2</v>
      </c>
    </row>
    <row r="143" ht="16.5" customHeight="1">
      <c r="A143" s="94" t="str">
        <f t="shared" si="9"/>
        <v>MixedX5AwayOld School</v>
      </c>
      <c r="B143" s="104"/>
      <c r="C143" s="92">
        <v>130.0</v>
      </c>
      <c r="D143" s="77">
        <v>46050.0</v>
      </c>
      <c r="E143" s="78">
        <f t="shared" si="10"/>
        <v>46050</v>
      </c>
      <c r="F143" s="79">
        <v>0.8333333333333334</v>
      </c>
      <c r="G143" s="102" t="s">
        <v>107</v>
      </c>
      <c r="H143" s="80" t="s">
        <v>53</v>
      </c>
      <c r="I143" s="81">
        <v>2.0</v>
      </c>
      <c r="J143" s="82" t="s">
        <v>36</v>
      </c>
      <c r="K143" s="83" t="s">
        <v>3</v>
      </c>
      <c r="L143" s="84" t="s">
        <v>120</v>
      </c>
      <c r="M143" s="85" t="s">
        <v>28</v>
      </c>
      <c r="N143" s="87" t="s">
        <v>42</v>
      </c>
      <c r="O143" s="82" t="s">
        <v>57</v>
      </c>
      <c r="P143" s="82" t="s">
        <v>113</v>
      </c>
      <c r="Q143" s="88" t="s">
        <v>51</v>
      </c>
      <c r="R143" s="98"/>
      <c r="S143" s="90" t="s">
        <v>40</v>
      </c>
      <c r="T143" s="90" t="s">
        <v>44</v>
      </c>
      <c r="U143" s="91" t="str">
        <f t="shared" si="11"/>
        <v>MP X5 v Old School X2</v>
      </c>
    </row>
    <row r="144" ht="16.5" customHeight="1">
      <c r="A144" s="94" t="str">
        <f t="shared" si="9"/>
        <v>MixedX5HomeRoundwood</v>
      </c>
      <c r="B144" s="104"/>
      <c r="C144" s="76">
        <v>131.0</v>
      </c>
      <c r="D144" s="77">
        <v>45985.0</v>
      </c>
      <c r="E144" s="78">
        <f t="shared" si="10"/>
        <v>45985</v>
      </c>
      <c r="F144" s="79">
        <v>0.7916666666666666</v>
      </c>
      <c r="G144" s="102" t="s">
        <v>107</v>
      </c>
      <c r="H144" s="80" t="s">
        <v>53</v>
      </c>
      <c r="I144" s="81">
        <v>2.0</v>
      </c>
      <c r="J144" s="82" t="s">
        <v>36</v>
      </c>
      <c r="K144" s="83" t="s">
        <v>3</v>
      </c>
      <c r="L144" s="84" t="s">
        <v>120</v>
      </c>
      <c r="M144" s="85" t="s">
        <v>28</v>
      </c>
      <c r="N144" s="87" t="s">
        <v>38</v>
      </c>
      <c r="O144" s="82" t="s">
        <v>121</v>
      </c>
      <c r="P144" s="82" t="s">
        <v>108</v>
      </c>
      <c r="Q144" s="88" t="s">
        <v>3</v>
      </c>
      <c r="R144" s="98"/>
      <c r="S144" s="90" t="s">
        <v>40</v>
      </c>
      <c r="T144" s="90" t="s">
        <v>41</v>
      </c>
      <c r="U144" s="91" t="str">
        <f t="shared" si="11"/>
        <v>MP X5 v Roundwood X1</v>
      </c>
    </row>
    <row r="145" ht="16.5" customHeight="1">
      <c r="A145" s="94" t="str">
        <f t="shared" si="9"/>
        <v>MixedX5AwayRoundwood</v>
      </c>
      <c r="B145" s="104"/>
      <c r="C145" s="92">
        <v>132.0</v>
      </c>
      <c r="D145" s="77">
        <v>46036.0</v>
      </c>
      <c r="E145" s="78">
        <f t="shared" si="10"/>
        <v>46036</v>
      </c>
      <c r="F145" s="79">
        <v>0.8333333333333334</v>
      </c>
      <c r="G145" s="102" t="s">
        <v>107</v>
      </c>
      <c r="H145" s="80" t="s">
        <v>53</v>
      </c>
      <c r="I145" s="81">
        <v>2.0</v>
      </c>
      <c r="J145" s="82" t="s">
        <v>36</v>
      </c>
      <c r="K145" s="83" t="s">
        <v>3</v>
      </c>
      <c r="L145" s="84" t="s">
        <v>120</v>
      </c>
      <c r="M145" s="85" t="s">
        <v>28</v>
      </c>
      <c r="N145" s="87" t="s">
        <v>42</v>
      </c>
      <c r="O145" s="82" t="s">
        <v>121</v>
      </c>
      <c r="P145" s="82" t="s">
        <v>108</v>
      </c>
      <c r="Q145" s="88" t="s">
        <v>122</v>
      </c>
      <c r="R145" s="98"/>
      <c r="S145" s="90" t="s">
        <v>40</v>
      </c>
      <c r="T145" s="90" t="s">
        <v>44</v>
      </c>
      <c r="U145" s="91" t="str">
        <f t="shared" si="11"/>
        <v>MP X5 v Roundwood X1</v>
      </c>
    </row>
    <row r="146" ht="16.5" customHeight="1">
      <c r="A146" s="74" t="str">
        <f t="shared" si="9"/>
        <v>MixedX5HomeSouth Dublin</v>
      </c>
      <c r="B146" s="104"/>
      <c r="C146" s="76">
        <v>133.0</v>
      </c>
      <c r="D146" s="77">
        <v>46083.0</v>
      </c>
      <c r="E146" s="78">
        <f t="shared" si="10"/>
        <v>46083</v>
      </c>
      <c r="F146" s="79">
        <v>0.875</v>
      </c>
      <c r="G146" s="102" t="s">
        <v>107</v>
      </c>
      <c r="H146" s="80" t="s">
        <v>53</v>
      </c>
      <c r="I146" s="81">
        <v>2.0</v>
      </c>
      <c r="J146" s="82" t="s">
        <v>36</v>
      </c>
      <c r="K146" s="83" t="s">
        <v>3</v>
      </c>
      <c r="L146" s="84" t="s">
        <v>120</v>
      </c>
      <c r="M146" s="85" t="s">
        <v>28</v>
      </c>
      <c r="N146" s="87" t="s">
        <v>38</v>
      </c>
      <c r="O146" s="82" t="s">
        <v>73</v>
      </c>
      <c r="P146" s="82" t="s">
        <v>108</v>
      </c>
      <c r="Q146" s="88" t="s">
        <v>3</v>
      </c>
      <c r="R146" s="98"/>
      <c r="S146" s="90" t="s">
        <v>40</v>
      </c>
      <c r="T146" s="90" t="s">
        <v>18</v>
      </c>
      <c r="U146" s="91" t="str">
        <f t="shared" si="11"/>
        <v>MP X5 v South Dublin X1</v>
      </c>
    </row>
    <row r="147" ht="16.5" customHeight="1">
      <c r="A147" s="94" t="str">
        <f t="shared" si="9"/>
        <v>MixedX5AwaySouth Dublin</v>
      </c>
      <c r="B147" s="104"/>
      <c r="C147" s="92">
        <v>134.0</v>
      </c>
      <c r="D147" s="77">
        <v>46101.0</v>
      </c>
      <c r="E147" s="78">
        <f t="shared" si="10"/>
        <v>46101</v>
      </c>
      <c r="F147" s="79">
        <v>0.8333333333333334</v>
      </c>
      <c r="G147" s="102" t="s">
        <v>107</v>
      </c>
      <c r="H147" s="80" t="s">
        <v>53</v>
      </c>
      <c r="I147" s="81">
        <v>2.0</v>
      </c>
      <c r="J147" s="82" t="s">
        <v>36</v>
      </c>
      <c r="K147" s="83" t="s">
        <v>3</v>
      </c>
      <c r="L147" s="84" t="s">
        <v>120</v>
      </c>
      <c r="M147" s="85" t="s">
        <v>28</v>
      </c>
      <c r="N147" s="87" t="s">
        <v>42</v>
      </c>
      <c r="O147" s="82" t="s">
        <v>73</v>
      </c>
      <c r="P147" s="82" t="s">
        <v>108</v>
      </c>
      <c r="Q147" s="88" t="s">
        <v>56</v>
      </c>
      <c r="R147" s="98"/>
      <c r="S147" s="90" t="s">
        <v>40</v>
      </c>
      <c r="T147" s="90" t="s">
        <v>44</v>
      </c>
      <c r="U147" s="91" t="str">
        <f t="shared" si="11"/>
        <v>MP X5 v South Dublin X1</v>
      </c>
    </row>
    <row r="148" ht="16.5" customHeight="1">
      <c r="A148" s="94" t="str">
        <f t="shared" si="9"/>
        <v>MixedX6HomeAilesbury</v>
      </c>
      <c r="B148" s="104"/>
      <c r="C148" s="76">
        <v>135.0</v>
      </c>
      <c r="D148" s="77">
        <v>45972.0</v>
      </c>
      <c r="E148" s="78">
        <f t="shared" si="10"/>
        <v>45972</v>
      </c>
      <c r="F148" s="79">
        <v>0.7916666666666666</v>
      </c>
      <c r="G148" s="102" t="s">
        <v>107</v>
      </c>
      <c r="H148" s="80" t="s">
        <v>53</v>
      </c>
      <c r="I148" s="81">
        <v>3.0</v>
      </c>
      <c r="J148" s="82" t="s">
        <v>36</v>
      </c>
      <c r="K148" s="83" t="s">
        <v>3</v>
      </c>
      <c r="L148" s="84" t="s">
        <v>123</v>
      </c>
      <c r="M148" s="85" t="s">
        <v>28</v>
      </c>
      <c r="N148" s="87" t="s">
        <v>38</v>
      </c>
      <c r="O148" s="82" t="s">
        <v>39</v>
      </c>
      <c r="P148" s="82" t="s">
        <v>119</v>
      </c>
      <c r="Q148" s="88" t="s">
        <v>3</v>
      </c>
      <c r="R148" s="98"/>
      <c r="S148" s="90" t="s">
        <v>47</v>
      </c>
      <c r="T148" s="90" t="s">
        <v>41</v>
      </c>
      <c r="U148" s="91" t="str">
        <f t="shared" si="11"/>
        <v>MP X6 v Ailesbury X4</v>
      </c>
    </row>
    <row r="149" ht="16.5" customHeight="1">
      <c r="A149" s="94" t="str">
        <f t="shared" si="9"/>
        <v>MixedX6AwayAilesbury</v>
      </c>
      <c r="B149" s="104"/>
      <c r="C149" s="92">
        <v>136.0</v>
      </c>
      <c r="D149" s="77">
        <v>46086.0</v>
      </c>
      <c r="E149" s="78">
        <f t="shared" si="10"/>
        <v>46086</v>
      </c>
      <c r="F149" s="79">
        <v>0.7916666666666666</v>
      </c>
      <c r="G149" s="102" t="s">
        <v>107</v>
      </c>
      <c r="H149" s="80" t="s">
        <v>53</v>
      </c>
      <c r="I149" s="81">
        <v>3.0</v>
      </c>
      <c r="J149" s="82" t="s">
        <v>36</v>
      </c>
      <c r="K149" s="83" t="s">
        <v>3</v>
      </c>
      <c r="L149" s="84" t="s">
        <v>123</v>
      </c>
      <c r="M149" s="85" t="s">
        <v>28</v>
      </c>
      <c r="N149" s="87" t="s">
        <v>42</v>
      </c>
      <c r="O149" s="82" t="s">
        <v>39</v>
      </c>
      <c r="P149" s="82" t="s">
        <v>119</v>
      </c>
      <c r="Q149" s="88" t="s">
        <v>43</v>
      </c>
      <c r="R149" s="98"/>
      <c r="S149" s="90" t="s">
        <v>40</v>
      </c>
      <c r="T149" s="90" t="s">
        <v>44</v>
      </c>
      <c r="U149" s="91" t="str">
        <f t="shared" si="11"/>
        <v>MP X6 v Ailesbury X4</v>
      </c>
    </row>
    <row r="150" ht="16.5" customHeight="1">
      <c r="A150" s="94" t="str">
        <f t="shared" si="9"/>
        <v>MixedX6HomeKADCA</v>
      </c>
      <c r="B150" s="104"/>
      <c r="C150" s="76">
        <v>137.0</v>
      </c>
      <c r="D150" s="77">
        <v>46002.0</v>
      </c>
      <c r="E150" s="78">
        <f t="shared" si="10"/>
        <v>46002</v>
      </c>
      <c r="F150" s="79">
        <v>0.7916666666666666</v>
      </c>
      <c r="G150" s="102" t="s">
        <v>107</v>
      </c>
      <c r="H150" s="80" t="s">
        <v>53</v>
      </c>
      <c r="I150" s="81">
        <v>3.0</v>
      </c>
      <c r="J150" s="82" t="s">
        <v>36</v>
      </c>
      <c r="K150" s="83" t="s">
        <v>3</v>
      </c>
      <c r="L150" s="84" t="s">
        <v>123</v>
      </c>
      <c r="M150" s="85" t="s">
        <v>28</v>
      </c>
      <c r="N150" s="87" t="s">
        <v>38</v>
      </c>
      <c r="O150" s="82" t="s">
        <v>55</v>
      </c>
      <c r="P150" s="82" t="s">
        <v>108</v>
      </c>
      <c r="Q150" s="88" t="s">
        <v>3</v>
      </c>
      <c r="R150" s="98"/>
      <c r="S150" s="90" t="s">
        <v>40</v>
      </c>
      <c r="T150" s="90" t="s">
        <v>41</v>
      </c>
      <c r="U150" s="91" t="str">
        <f t="shared" si="11"/>
        <v>MP X6 v KADCA X1</v>
      </c>
    </row>
    <row r="151" ht="16.5" customHeight="1">
      <c r="A151" s="94" t="str">
        <f t="shared" si="9"/>
        <v>MixedX6AwayKADCA</v>
      </c>
      <c r="B151" s="104"/>
      <c r="C151" s="92">
        <v>138.0</v>
      </c>
      <c r="D151" s="77">
        <v>46079.0</v>
      </c>
      <c r="E151" s="78">
        <f t="shared" si="10"/>
        <v>46079</v>
      </c>
      <c r="F151" s="79">
        <v>0.7916666666666666</v>
      </c>
      <c r="G151" s="102" t="s">
        <v>107</v>
      </c>
      <c r="H151" s="80" t="s">
        <v>53</v>
      </c>
      <c r="I151" s="81">
        <v>3.0</v>
      </c>
      <c r="J151" s="82" t="s">
        <v>36</v>
      </c>
      <c r="K151" s="83" t="s">
        <v>3</v>
      </c>
      <c r="L151" s="84" t="s">
        <v>123</v>
      </c>
      <c r="M151" s="85" t="s">
        <v>28</v>
      </c>
      <c r="N151" s="87" t="s">
        <v>42</v>
      </c>
      <c r="O151" s="82" t="s">
        <v>55</v>
      </c>
      <c r="P151" s="82" t="s">
        <v>108</v>
      </c>
      <c r="Q151" s="88" t="s">
        <v>56</v>
      </c>
      <c r="R151" s="98"/>
      <c r="S151" s="90" t="s">
        <v>40</v>
      </c>
      <c r="T151" s="90" t="s">
        <v>44</v>
      </c>
      <c r="U151" s="91" t="str">
        <f t="shared" si="11"/>
        <v>MP X6 v KADCA X1</v>
      </c>
    </row>
    <row r="152" ht="16.5" customHeight="1">
      <c r="A152" s="94" t="str">
        <f t="shared" si="9"/>
        <v>MixedX6HomeTrinity College</v>
      </c>
      <c r="B152" s="104"/>
      <c r="C152" s="76">
        <v>139.0</v>
      </c>
      <c r="D152" s="77">
        <v>46035.0</v>
      </c>
      <c r="E152" s="78">
        <f t="shared" si="10"/>
        <v>46035</v>
      </c>
      <c r="F152" s="79">
        <v>0.7916666666666666</v>
      </c>
      <c r="G152" s="102" t="s">
        <v>107</v>
      </c>
      <c r="H152" s="80" t="s">
        <v>53</v>
      </c>
      <c r="I152" s="81">
        <v>3.0</v>
      </c>
      <c r="J152" s="82" t="s">
        <v>36</v>
      </c>
      <c r="K152" s="83" t="s">
        <v>3</v>
      </c>
      <c r="L152" s="84" t="s">
        <v>123</v>
      </c>
      <c r="M152" s="85" t="s">
        <v>28</v>
      </c>
      <c r="N152" s="87" t="s">
        <v>38</v>
      </c>
      <c r="O152" s="82" t="s">
        <v>115</v>
      </c>
      <c r="P152" s="82" t="s">
        <v>113</v>
      </c>
      <c r="Q152" s="88" t="s">
        <v>3</v>
      </c>
      <c r="R152" s="98"/>
      <c r="S152" s="90" t="s">
        <v>40</v>
      </c>
      <c r="T152" s="90" t="s">
        <v>41</v>
      </c>
      <c r="U152" s="91" t="str">
        <f t="shared" si="11"/>
        <v>MP X6 v Trinity College X2</v>
      </c>
    </row>
    <row r="153" ht="16.5" customHeight="1">
      <c r="A153" s="94" t="str">
        <f t="shared" si="9"/>
        <v>MixedX6AwayTrinity College</v>
      </c>
      <c r="B153" s="104"/>
      <c r="C153" s="92">
        <v>140.0</v>
      </c>
      <c r="D153" s="77">
        <v>46099.0</v>
      </c>
      <c r="E153" s="78">
        <f t="shared" si="10"/>
        <v>46099</v>
      </c>
      <c r="F153" s="79">
        <v>0.8333333333333334</v>
      </c>
      <c r="G153" s="102" t="s">
        <v>107</v>
      </c>
      <c r="H153" s="80" t="s">
        <v>53</v>
      </c>
      <c r="I153" s="81">
        <v>3.0</v>
      </c>
      <c r="J153" s="82" t="s">
        <v>36</v>
      </c>
      <c r="K153" s="83" t="s">
        <v>3</v>
      </c>
      <c r="L153" s="84" t="s">
        <v>123</v>
      </c>
      <c r="M153" s="85" t="s">
        <v>28</v>
      </c>
      <c r="N153" s="87" t="s">
        <v>42</v>
      </c>
      <c r="O153" s="82" t="s">
        <v>115</v>
      </c>
      <c r="P153" s="82" t="s">
        <v>113</v>
      </c>
      <c r="Q153" s="88" t="s">
        <v>116</v>
      </c>
      <c r="R153" s="98"/>
      <c r="S153" s="90" t="s">
        <v>40</v>
      </c>
      <c r="T153" s="90" t="s">
        <v>44</v>
      </c>
      <c r="U153" s="91" t="str">
        <f t="shared" si="11"/>
        <v>MP X6 v Trinity College X2</v>
      </c>
    </row>
    <row r="154" ht="16.5" customHeight="1">
      <c r="A154" s="94" t="str">
        <f t="shared" si="9"/>
        <v>MixedX6HomeLeixlip Phoenix</v>
      </c>
      <c r="B154" s="104"/>
      <c r="C154" s="76">
        <v>141.0</v>
      </c>
      <c r="D154" s="77">
        <v>46082.0</v>
      </c>
      <c r="E154" s="78">
        <f t="shared" si="10"/>
        <v>46082</v>
      </c>
      <c r="F154" s="79">
        <v>0.6666666666666666</v>
      </c>
      <c r="G154" s="102" t="s">
        <v>107</v>
      </c>
      <c r="H154" s="80" t="s">
        <v>53</v>
      </c>
      <c r="I154" s="81">
        <v>3.0</v>
      </c>
      <c r="J154" s="82" t="s">
        <v>36</v>
      </c>
      <c r="K154" s="83" t="s">
        <v>3</v>
      </c>
      <c r="L154" s="84" t="s">
        <v>123</v>
      </c>
      <c r="M154" s="85" t="s">
        <v>28</v>
      </c>
      <c r="N154" s="87" t="s">
        <v>38</v>
      </c>
      <c r="O154" s="82" t="s">
        <v>94</v>
      </c>
      <c r="P154" s="82" t="s">
        <v>108</v>
      </c>
      <c r="Q154" s="88" t="s">
        <v>3</v>
      </c>
      <c r="R154" s="98"/>
      <c r="S154" s="90" t="s">
        <v>40</v>
      </c>
      <c r="T154" s="90" t="s">
        <v>18</v>
      </c>
      <c r="U154" s="91" t="str">
        <f t="shared" si="11"/>
        <v>MP X6 v Leixlip Phoenix X1</v>
      </c>
    </row>
    <row r="155" ht="16.5" customHeight="1">
      <c r="A155" s="94" t="str">
        <f t="shared" si="9"/>
        <v>MixedX6AwayLeixlip Phoenix</v>
      </c>
      <c r="B155" s="104"/>
      <c r="C155" s="92">
        <v>142.0</v>
      </c>
      <c r="D155" s="77">
        <v>46092.0</v>
      </c>
      <c r="E155" s="78">
        <f t="shared" si="10"/>
        <v>46092</v>
      </c>
      <c r="F155" s="79">
        <v>0.8333333333333334</v>
      </c>
      <c r="G155" s="102" t="s">
        <v>107</v>
      </c>
      <c r="H155" s="80" t="s">
        <v>53</v>
      </c>
      <c r="I155" s="81">
        <v>3.0</v>
      </c>
      <c r="J155" s="82" t="s">
        <v>36</v>
      </c>
      <c r="K155" s="83" t="s">
        <v>3</v>
      </c>
      <c r="L155" s="84" t="s">
        <v>123</v>
      </c>
      <c r="M155" s="85" t="s">
        <v>28</v>
      </c>
      <c r="N155" s="87" t="s">
        <v>42</v>
      </c>
      <c r="O155" s="82" t="s">
        <v>94</v>
      </c>
      <c r="P155" s="82" t="s">
        <v>108</v>
      </c>
      <c r="Q155" s="88" t="s">
        <v>94</v>
      </c>
      <c r="R155" s="98"/>
      <c r="S155" s="90" t="s">
        <v>40</v>
      </c>
      <c r="T155" s="90" t="s">
        <v>44</v>
      </c>
      <c r="U155" s="91" t="str">
        <f t="shared" si="11"/>
        <v>MP X6 v Leixlip Phoenix X1</v>
      </c>
    </row>
    <row r="156" ht="16.5" customHeight="1">
      <c r="A156" s="94" t="str">
        <f t="shared" si="9"/>
        <v>MixedX7HomeBoyne</v>
      </c>
      <c r="B156" s="104"/>
      <c r="C156" s="76">
        <v>143.0</v>
      </c>
      <c r="D156" s="77">
        <v>46056.0</v>
      </c>
      <c r="E156" s="78">
        <f t="shared" si="10"/>
        <v>46056</v>
      </c>
      <c r="F156" s="79">
        <v>0.875</v>
      </c>
      <c r="G156" s="102" t="s">
        <v>107</v>
      </c>
      <c r="H156" s="80" t="s">
        <v>60</v>
      </c>
      <c r="I156" s="81">
        <v>1.0</v>
      </c>
      <c r="J156" s="82" t="s">
        <v>36</v>
      </c>
      <c r="K156" s="83" t="s">
        <v>3</v>
      </c>
      <c r="L156" s="84" t="s">
        <v>124</v>
      </c>
      <c r="M156" s="85" t="s">
        <v>28</v>
      </c>
      <c r="N156" s="87" t="s">
        <v>38</v>
      </c>
      <c r="O156" s="82" t="s">
        <v>125</v>
      </c>
      <c r="P156" s="82" t="s">
        <v>108</v>
      </c>
      <c r="Q156" s="88" t="s">
        <v>3</v>
      </c>
      <c r="R156" s="98"/>
      <c r="S156" s="90" t="s">
        <v>40</v>
      </c>
      <c r="T156" s="90" t="s">
        <v>18</v>
      </c>
      <c r="U156" s="91" t="str">
        <f t="shared" si="11"/>
        <v>MP X7 v Boyne X1</v>
      </c>
    </row>
    <row r="157" ht="16.5" customHeight="1">
      <c r="A157" s="94" t="str">
        <f t="shared" si="9"/>
        <v>MixedX7AwayBoyne</v>
      </c>
      <c r="B157" s="104"/>
      <c r="C157" s="92">
        <v>144.0</v>
      </c>
      <c r="D157" s="77">
        <v>46085.0</v>
      </c>
      <c r="E157" s="78">
        <f t="shared" si="10"/>
        <v>46085</v>
      </c>
      <c r="F157" s="79">
        <v>0.875</v>
      </c>
      <c r="G157" s="102" t="s">
        <v>107</v>
      </c>
      <c r="H157" s="80" t="s">
        <v>60</v>
      </c>
      <c r="I157" s="81">
        <v>1.0</v>
      </c>
      <c r="J157" s="82" t="s">
        <v>36</v>
      </c>
      <c r="K157" s="83" t="s">
        <v>3</v>
      </c>
      <c r="L157" s="84" t="s">
        <v>124</v>
      </c>
      <c r="M157" s="85" t="s">
        <v>28</v>
      </c>
      <c r="N157" s="87" t="s">
        <v>42</v>
      </c>
      <c r="O157" s="82" t="s">
        <v>125</v>
      </c>
      <c r="P157" s="82" t="s">
        <v>108</v>
      </c>
      <c r="Q157" s="88" t="s">
        <v>126</v>
      </c>
      <c r="R157" s="98"/>
      <c r="S157" s="90" t="s">
        <v>40</v>
      </c>
      <c r="T157" s="90" t="s">
        <v>44</v>
      </c>
      <c r="U157" s="91" t="str">
        <f t="shared" si="11"/>
        <v>MP X7 v Boyne X1</v>
      </c>
    </row>
    <row r="158" ht="16.5" customHeight="1">
      <c r="A158" s="94" t="str">
        <f t="shared" si="9"/>
        <v>MixedX7HomeHotshots</v>
      </c>
      <c r="B158" s="104"/>
      <c r="C158" s="76">
        <v>145.0</v>
      </c>
      <c r="D158" s="77">
        <v>46052.0</v>
      </c>
      <c r="E158" s="78">
        <f t="shared" si="10"/>
        <v>46052</v>
      </c>
      <c r="F158" s="79">
        <v>0.7916666666666666</v>
      </c>
      <c r="G158" s="102" t="s">
        <v>107</v>
      </c>
      <c r="H158" s="80" t="s">
        <v>60</v>
      </c>
      <c r="I158" s="81">
        <v>1.0</v>
      </c>
      <c r="J158" s="82" t="s">
        <v>36</v>
      </c>
      <c r="K158" s="83" t="s">
        <v>3</v>
      </c>
      <c r="L158" s="84" t="s">
        <v>124</v>
      </c>
      <c r="M158" s="85" t="s">
        <v>28</v>
      </c>
      <c r="N158" s="87" t="s">
        <v>38</v>
      </c>
      <c r="O158" s="82" t="s">
        <v>71</v>
      </c>
      <c r="P158" s="82" t="s">
        <v>108</v>
      </c>
      <c r="Q158" s="88" t="s">
        <v>3</v>
      </c>
      <c r="R158" s="98"/>
      <c r="S158" s="90" t="s">
        <v>40</v>
      </c>
      <c r="T158" s="90" t="s">
        <v>18</v>
      </c>
      <c r="U158" s="91" t="str">
        <f t="shared" si="11"/>
        <v>MP X7 v Hotshots X1</v>
      </c>
    </row>
    <row r="159" ht="16.5" customHeight="1">
      <c r="A159" s="94" t="str">
        <f t="shared" si="9"/>
        <v>MixedX7AwayHotshots</v>
      </c>
      <c r="B159" s="104"/>
      <c r="C159" s="92">
        <v>146.0</v>
      </c>
      <c r="D159" s="77">
        <v>46099.0</v>
      </c>
      <c r="E159" s="78">
        <f t="shared" si="10"/>
        <v>46099</v>
      </c>
      <c r="F159" s="105">
        <v>0.7916666666666666</v>
      </c>
      <c r="G159" s="102" t="s">
        <v>107</v>
      </c>
      <c r="H159" s="80" t="s">
        <v>60</v>
      </c>
      <c r="I159" s="81">
        <v>1.0</v>
      </c>
      <c r="J159" s="82" t="s">
        <v>36</v>
      </c>
      <c r="K159" s="83" t="s">
        <v>3</v>
      </c>
      <c r="L159" s="84" t="s">
        <v>124</v>
      </c>
      <c r="M159" s="85" t="s">
        <v>28</v>
      </c>
      <c r="N159" s="87" t="s">
        <v>42</v>
      </c>
      <c r="O159" s="82" t="s">
        <v>71</v>
      </c>
      <c r="P159" s="82" t="s">
        <v>108</v>
      </c>
      <c r="Q159" s="88" t="s">
        <v>72</v>
      </c>
      <c r="R159" s="98"/>
      <c r="S159" s="90" t="s">
        <v>40</v>
      </c>
      <c r="T159" s="90" t="s">
        <v>44</v>
      </c>
      <c r="U159" s="91" t="str">
        <f t="shared" si="11"/>
        <v>MP X7 v Hotshots X1</v>
      </c>
    </row>
    <row r="160" ht="16.5" customHeight="1">
      <c r="A160" s="94" t="str">
        <f t="shared" si="9"/>
        <v>MixedX7HomeNew Dawn</v>
      </c>
      <c r="B160" s="104"/>
      <c r="C160" s="76">
        <v>147.0</v>
      </c>
      <c r="D160" s="77">
        <v>46104.0</v>
      </c>
      <c r="E160" s="78">
        <f t="shared" si="10"/>
        <v>46104</v>
      </c>
      <c r="F160" s="79">
        <v>0.7916666666666666</v>
      </c>
      <c r="G160" s="102" t="s">
        <v>107</v>
      </c>
      <c r="H160" s="80" t="s">
        <v>60</v>
      </c>
      <c r="I160" s="81">
        <v>1.0</v>
      </c>
      <c r="J160" s="82" t="s">
        <v>36</v>
      </c>
      <c r="K160" s="83" t="s">
        <v>3</v>
      </c>
      <c r="L160" s="84" t="s">
        <v>124</v>
      </c>
      <c r="M160" s="85" t="s">
        <v>28</v>
      </c>
      <c r="N160" s="87" t="s">
        <v>38</v>
      </c>
      <c r="O160" s="82" t="s">
        <v>50</v>
      </c>
      <c r="P160" s="82" t="s">
        <v>108</v>
      </c>
      <c r="Q160" s="88" t="s">
        <v>3</v>
      </c>
      <c r="R160" s="98"/>
      <c r="S160" s="90" t="s">
        <v>40</v>
      </c>
      <c r="T160" s="90" t="s">
        <v>18</v>
      </c>
      <c r="U160" s="91" t="str">
        <f t="shared" si="11"/>
        <v>MP X7 v New Dawn X1</v>
      </c>
    </row>
    <row r="161" ht="16.5" customHeight="1">
      <c r="A161" s="94" t="str">
        <f t="shared" si="9"/>
        <v>MixedX7AwayNew Dawn</v>
      </c>
      <c r="B161" s="104"/>
      <c r="C161" s="92">
        <v>148.0</v>
      </c>
      <c r="D161" s="77">
        <v>46029.0</v>
      </c>
      <c r="E161" s="78">
        <f t="shared" si="10"/>
        <v>46029</v>
      </c>
      <c r="F161" s="79">
        <v>0.8333333333333334</v>
      </c>
      <c r="G161" s="102" t="s">
        <v>107</v>
      </c>
      <c r="H161" s="80" t="s">
        <v>60</v>
      </c>
      <c r="I161" s="81">
        <v>1.0</v>
      </c>
      <c r="J161" s="82" t="s">
        <v>36</v>
      </c>
      <c r="K161" s="83" t="s">
        <v>3</v>
      </c>
      <c r="L161" s="84" t="s">
        <v>124</v>
      </c>
      <c r="M161" s="85" t="s">
        <v>28</v>
      </c>
      <c r="N161" s="87" t="s">
        <v>42</v>
      </c>
      <c r="O161" s="82" t="s">
        <v>50</v>
      </c>
      <c r="P161" s="82" t="s">
        <v>108</v>
      </c>
      <c r="Q161" s="88" t="s">
        <v>51</v>
      </c>
      <c r="R161" s="98"/>
      <c r="S161" s="90" t="s">
        <v>40</v>
      </c>
      <c r="T161" s="90" t="s">
        <v>44</v>
      </c>
      <c r="U161" s="91" t="str">
        <f t="shared" si="11"/>
        <v>MP X7 v New Dawn X1</v>
      </c>
    </row>
    <row r="162" ht="16.5" customHeight="1">
      <c r="A162" s="74" t="str">
        <f t="shared" si="9"/>
        <v>MixedX7HomeSouth Dublin</v>
      </c>
      <c r="B162" s="104"/>
      <c r="C162" s="76">
        <v>149.0</v>
      </c>
      <c r="D162" s="77">
        <v>46076.0</v>
      </c>
      <c r="E162" s="78">
        <f t="shared" si="10"/>
        <v>46076</v>
      </c>
      <c r="F162" s="79">
        <v>0.875</v>
      </c>
      <c r="G162" s="102" t="s">
        <v>107</v>
      </c>
      <c r="H162" s="80" t="s">
        <v>60</v>
      </c>
      <c r="I162" s="81">
        <v>1.0</v>
      </c>
      <c r="J162" s="82" t="s">
        <v>36</v>
      </c>
      <c r="K162" s="83" t="s">
        <v>3</v>
      </c>
      <c r="L162" s="84" t="s">
        <v>124</v>
      </c>
      <c r="M162" s="85" t="s">
        <v>28</v>
      </c>
      <c r="N162" s="87" t="s">
        <v>38</v>
      </c>
      <c r="O162" s="82" t="s">
        <v>73</v>
      </c>
      <c r="P162" s="82" t="s">
        <v>113</v>
      </c>
      <c r="Q162" s="88" t="s">
        <v>3</v>
      </c>
      <c r="R162" s="98"/>
      <c r="S162" s="90" t="s">
        <v>40</v>
      </c>
      <c r="T162" s="90" t="s">
        <v>18</v>
      </c>
      <c r="U162" s="91" t="str">
        <f t="shared" si="11"/>
        <v>MP X7 v South Dublin X2</v>
      </c>
    </row>
    <row r="163" ht="16.5" customHeight="1">
      <c r="A163" s="94" t="str">
        <f t="shared" si="9"/>
        <v>MixedX7AwaySouth Dublin</v>
      </c>
      <c r="B163" s="104"/>
      <c r="C163" s="92">
        <v>150.0</v>
      </c>
      <c r="D163" s="77">
        <v>46108.0</v>
      </c>
      <c r="E163" s="78">
        <f t="shared" si="10"/>
        <v>46108</v>
      </c>
      <c r="F163" s="79">
        <v>0.8333333333333334</v>
      </c>
      <c r="G163" s="102" t="s">
        <v>107</v>
      </c>
      <c r="H163" s="80" t="s">
        <v>60</v>
      </c>
      <c r="I163" s="81">
        <v>1.0</v>
      </c>
      <c r="J163" s="82" t="s">
        <v>36</v>
      </c>
      <c r="K163" s="83" t="s">
        <v>3</v>
      </c>
      <c r="L163" s="84" t="s">
        <v>124</v>
      </c>
      <c r="M163" s="85" t="s">
        <v>28</v>
      </c>
      <c r="N163" s="87" t="s">
        <v>42</v>
      </c>
      <c r="O163" s="82" t="s">
        <v>73</v>
      </c>
      <c r="P163" s="82" t="s">
        <v>113</v>
      </c>
      <c r="Q163" s="88" t="s">
        <v>56</v>
      </c>
      <c r="R163" s="98"/>
      <c r="S163" s="90" t="s">
        <v>40</v>
      </c>
      <c r="T163" s="90" t="s">
        <v>44</v>
      </c>
      <c r="U163" s="91" t="str">
        <f t="shared" si="11"/>
        <v>MP X7 v South Dublin X2</v>
      </c>
    </row>
    <row r="164" ht="16.5" customHeight="1">
      <c r="A164" s="94" t="str">
        <f t="shared" si="9"/>
        <v>MixedX8HomeBoyne</v>
      </c>
      <c r="B164" s="104"/>
      <c r="C164" s="76">
        <v>151.0</v>
      </c>
      <c r="D164" s="77">
        <v>46058.0</v>
      </c>
      <c r="E164" s="78">
        <f t="shared" si="10"/>
        <v>46058</v>
      </c>
      <c r="F164" s="79">
        <v>0.8333333333333334</v>
      </c>
      <c r="G164" s="102" t="s">
        <v>107</v>
      </c>
      <c r="H164" s="80" t="s">
        <v>69</v>
      </c>
      <c r="I164" s="81">
        <v>1.0</v>
      </c>
      <c r="J164" s="82" t="s">
        <v>36</v>
      </c>
      <c r="K164" s="83" t="s">
        <v>3</v>
      </c>
      <c r="L164" s="84" t="s">
        <v>127</v>
      </c>
      <c r="M164" s="85" t="s">
        <v>28</v>
      </c>
      <c r="N164" s="87" t="s">
        <v>38</v>
      </c>
      <c r="O164" s="82" t="s">
        <v>125</v>
      </c>
      <c r="P164" s="82" t="s">
        <v>113</v>
      </c>
      <c r="Q164" s="88" t="s">
        <v>3</v>
      </c>
      <c r="R164" s="98"/>
      <c r="S164" s="90" t="s">
        <v>40</v>
      </c>
      <c r="T164" s="90" t="s">
        <v>18</v>
      </c>
      <c r="U164" s="91" t="str">
        <f t="shared" si="11"/>
        <v>MP X8 v Boyne X2</v>
      </c>
    </row>
    <row r="165" ht="16.5" customHeight="1">
      <c r="A165" s="94" t="str">
        <f t="shared" si="9"/>
        <v>MixedX8AwayBoyne</v>
      </c>
      <c r="B165" s="104"/>
      <c r="C165" s="92">
        <v>152.0</v>
      </c>
      <c r="D165" s="77">
        <v>46037.0</v>
      </c>
      <c r="E165" s="78">
        <f t="shared" si="10"/>
        <v>46037</v>
      </c>
      <c r="F165" s="79">
        <v>0.8333333333333334</v>
      </c>
      <c r="G165" s="102" t="s">
        <v>107</v>
      </c>
      <c r="H165" s="80" t="s">
        <v>69</v>
      </c>
      <c r="I165" s="81">
        <v>1.0</v>
      </c>
      <c r="J165" s="82" t="s">
        <v>36</v>
      </c>
      <c r="K165" s="83" t="s">
        <v>3</v>
      </c>
      <c r="L165" s="84" t="s">
        <v>127</v>
      </c>
      <c r="M165" s="85" t="s">
        <v>28</v>
      </c>
      <c r="N165" s="87" t="s">
        <v>42</v>
      </c>
      <c r="O165" s="82" t="s">
        <v>125</v>
      </c>
      <c r="P165" s="82" t="s">
        <v>113</v>
      </c>
      <c r="Q165" s="88" t="s">
        <v>125</v>
      </c>
      <c r="R165" s="98"/>
      <c r="S165" s="90" t="s">
        <v>40</v>
      </c>
      <c r="T165" s="90" t="s">
        <v>44</v>
      </c>
      <c r="U165" s="91" t="str">
        <f t="shared" si="11"/>
        <v>MP X8 v Boyne X2</v>
      </c>
    </row>
    <row r="166" ht="16.5" customHeight="1">
      <c r="A166" s="94" t="str">
        <f t="shared" si="9"/>
        <v>MixedX8HomeFairplay</v>
      </c>
      <c r="B166" s="104"/>
      <c r="C166" s="76">
        <v>153.0</v>
      </c>
      <c r="D166" s="77">
        <v>46069.0</v>
      </c>
      <c r="E166" s="78">
        <f t="shared" si="10"/>
        <v>46069</v>
      </c>
      <c r="F166" s="79">
        <v>0.7916666666666666</v>
      </c>
      <c r="G166" s="102" t="s">
        <v>107</v>
      </c>
      <c r="H166" s="80" t="s">
        <v>69</v>
      </c>
      <c r="I166" s="81">
        <v>1.0</v>
      </c>
      <c r="J166" s="82" t="s">
        <v>36</v>
      </c>
      <c r="K166" s="83" t="s">
        <v>3</v>
      </c>
      <c r="L166" s="84" t="s">
        <v>127</v>
      </c>
      <c r="M166" s="85" t="s">
        <v>28</v>
      </c>
      <c r="N166" s="87" t="s">
        <v>38</v>
      </c>
      <c r="O166" s="82" t="s">
        <v>92</v>
      </c>
      <c r="P166" s="82" t="s">
        <v>108</v>
      </c>
      <c r="Q166" s="88" t="s">
        <v>3</v>
      </c>
      <c r="R166" s="98"/>
      <c r="S166" s="90" t="s">
        <v>40</v>
      </c>
      <c r="T166" s="90" t="s">
        <v>18</v>
      </c>
      <c r="U166" s="91" t="str">
        <f t="shared" si="11"/>
        <v>MP X8 v Fairplay X1</v>
      </c>
    </row>
    <row r="167" ht="16.5" customHeight="1">
      <c r="A167" s="94" t="str">
        <f t="shared" si="9"/>
        <v>MixedX8AwayFairplay</v>
      </c>
      <c r="B167" s="104"/>
      <c r="C167" s="92">
        <v>154.0</v>
      </c>
      <c r="D167" s="77">
        <v>46001.0</v>
      </c>
      <c r="E167" s="78">
        <f t="shared" si="10"/>
        <v>46001</v>
      </c>
      <c r="F167" s="79">
        <v>0.8333333333333334</v>
      </c>
      <c r="G167" s="102" t="s">
        <v>107</v>
      </c>
      <c r="H167" s="80" t="s">
        <v>69</v>
      </c>
      <c r="I167" s="81">
        <v>1.0</v>
      </c>
      <c r="J167" s="82" t="s">
        <v>36</v>
      </c>
      <c r="K167" s="83" t="s">
        <v>3</v>
      </c>
      <c r="L167" s="84" t="s">
        <v>127</v>
      </c>
      <c r="M167" s="85" t="s">
        <v>28</v>
      </c>
      <c r="N167" s="87" t="s">
        <v>42</v>
      </c>
      <c r="O167" s="82" t="s">
        <v>92</v>
      </c>
      <c r="P167" s="82" t="s">
        <v>108</v>
      </c>
      <c r="Q167" s="88" t="s">
        <v>128</v>
      </c>
      <c r="R167" s="98"/>
      <c r="S167" s="90" t="s">
        <v>40</v>
      </c>
      <c r="T167" s="90" t="s">
        <v>44</v>
      </c>
      <c r="U167" s="91" t="str">
        <f t="shared" si="11"/>
        <v>MP X8 v Fairplay X1</v>
      </c>
    </row>
    <row r="168" ht="16.5" customHeight="1">
      <c r="A168" s="94" t="str">
        <f t="shared" si="9"/>
        <v>MixedX8HomePSLC</v>
      </c>
      <c r="B168" s="104"/>
      <c r="C168" s="76">
        <v>155.0</v>
      </c>
      <c r="D168" s="77">
        <v>45981.0</v>
      </c>
      <c r="E168" s="78">
        <f t="shared" si="10"/>
        <v>45981</v>
      </c>
      <c r="F168" s="79">
        <v>0.7916666666666666</v>
      </c>
      <c r="G168" s="102" t="s">
        <v>107</v>
      </c>
      <c r="H168" s="80" t="s">
        <v>69</v>
      </c>
      <c r="I168" s="81">
        <v>1.0</v>
      </c>
      <c r="J168" s="82" t="s">
        <v>36</v>
      </c>
      <c r="K168" s="83" t="s">
        <v>3</v>
      </c>
      <c r="L168" s="84" t="s">
        <v>127</v>
      </c>
      <c r="M168" s="85" t="s">
        <v>28</v>
      </c>
      <c r="N168" s="87" t="s">
        <v>38</v>
      </c>
      <c r="O168" s="82" t="s">
        <v>65</v>
      </c>
      <c r="P168" s="82" t="s">
        <v>113</v>
      </c>
      <c r="Q168" s="88" t="s">
        <v>3</v>
      </c>
      <c r="R168" s="98"/>
      <c r="S168" s="90" t="s">
        <v>40</v>
      </c>
      <c r="T168" s="90" t="s">
        <v>41</v>
      </c>
      <c r="U168" s="91" t="str">
        <f t="shared" si="11"/>
        <v>MP X8 v PSLC X2</v>
      </c>
    </row>
    <row r="169" ht="16.5" customHeight="1">
      <c r="A169" s="94" t="str">
        <f t="shared" si="9"/>
        <v>MixedX8AwayPSLC</v>
      </c>
      <c r="B169" s="104"/>
      <c r="C169" s="92">
        <v>156.0</v>
      </c>
      <c r="D169" s="77">
        <v>45963.0</v>
      </c>
      <c r="E169" s="78">
        <f t="shared" si="10"/>
        <v>45963</v>
      </c>
      <c r="F169" s="79">
        <v>0.7708333333333334</v>
      </c>
      <c r="G169" s="102" t="s">
        <v>107</v>
      </c>
      <c r="H169" s="80" t="s">
        <v>69</v>
      </c>
      <c r="I169" s="81">
        <v>1.0</v>
      </c>
      <c r="J169" s="82" t="s">
        <v>36</v>
      </c>
      <c r="K169" s="83" t="s">
        <v>3</v>
      </c>
      <c r="L169" s="84" t="s">
        <v>127</v>
      </c>
      <c r="M169" s="85" t="s">
        <v>28</v>
      </c>
      <c r="N169" s="87" t="s">
        <v>42</v>
      </c>
      <c r="O169" s="82" t="s">
        <v>65</v>
      </c>
      <c r="P169" s="82" t="s">
        <v>113</v>
      </c>
      <c r="Q169" s="88" t="s">
        <v>66</v>
      </c>
      <c r="R169" s="98"/>
      <c r="S169" s="90" t="s">
        <v>47</v>
      </c>
      <c r="T169" s="90" t="s">
        <v>44</v>
      </c>
      <c r="U169" s="91" t="str">
        <f t="shared" si="11"/>
        <v>MP X8 v PSLC X2</v>
      </c>
    </row>
    <row r="170" ht="16.5" customHeight="1">
      <c r="A170" s="94" t="str">
        <f t="shared" ref="A170:A201" si="12">G170&amp;L170&amp;N170&amp;J170&amp;I170</f>
        <v>LadiesL1AwayCupSemi</v>
      </c>
      <c r="B170" s="104"/>
      <c r="C170" s="76">
        <v>157.0</v>
      </c>
      <c r="D170" s="77" t="s">
        <v>129</v>
      </c>
      <c r="E170" s="78" t="str">
        <f t="shared" si="10"/>
        <v>Jan 8-10 2026</v>
      </c>
      <c r="F170" s="109"/>
      <c r="G170" s="102" t="s">
        <v>34</v>
      </c>
      <c r="H170" s="80" t="s">
        <v>35</v>
      </c>
      <c r="I170" s="81" t="s">
        <v>130</v>
      </c>
      <c r="J170" s="82" t="s">
        <v>131</v>
      </c>
      <c r="K170" s="83" t="s">
        <v>3</v>
      </c>
      <c r="L170" s="84" t="s">
        <v>37</v>
      </c>
      <c r="M170" s="85" t="s">
        <v>28</v>
      </c>
      <c r="N170" s="87" t="s">
        <v>42</v>
      </c>
      <c r="O170" s="82" t="s">
        <v>132</v>
      </c>
      <c r="P170" s="110"/>
      <c r="Q170" s="88" t="s">
        <v>133</v>
      </c>
      <c r="R170" s="98"/>
      <c r="S170" s="90" t="s">
        <v>40</v>
      </c>
      <c r="T170" s="90" t="s">
        <v>44</v>
      </c>
      <c r="U170" s="91" t="str">
        <f t="shared" si="11"/>
        <v>MP L1 v Winner of Ailesbury L1 / New Dawn L1\ </v>
      </c>
    </row>
    <row r="171" ht="16.5" customHeight="1">
      <c r="A171" s="94" t="str">
        <f t="shared" si="12"/>
        <v>LadiesL2AwayCupSemi</v>
      </c>
      <c r="B171" s="104"/>
      <c r="C171" s="92">
        <v>158.0</v>
      </c>
      <c r="D171" s="77" t="s">
        <v>129</v>
      </c>
      <c r="E171" s="78" t="str">
        <f t="shared" si="10"/>
        <v>Jan 8-10 2026</v>
      </c>
      <c r="F171" s="109"/>
      <c r="G171" s="102" t="s">
        <v>34</v>
      </c>
      <c r="H171" s="80" t="s">
        <v>35</v>
      </c>
      <c r="I171" s="81" t="s">
        <v>130</v>
      </c>
      <c r="J171" s="82" t="s">
        <v>131</v>
      </c>
      <c r="K171" s="83" t="s">
        <v>3</v>
      </c>
      <c r="L171" s="84" t="s">
        <v>46</v>
      </c>
      <c r="M171" s="85" t="s">
        <v>28</v>
      </c>
      <c r="N171" s="87" t="s">
        <v>42</v>
      </c>
      <c r="O171" s="82" t="s">
        <v>52</v>
      </c>
      <c r="P171" s="82" t="s">
        <v>37</v>
      </c>
      <c r="Q171" s="88" t="s">
        <v>133</v>
      </c>
      <c r="R171" s="98"/>
      <c r="S171" s="90" t="s">
        <v>40</v>
      </c>
      <c r="T171" s="90" t="s">
        <v>44</v>
      </c>
      <c r="U171" s="91" t="str">
        <f t="shared" si="11"/>
        <v>MP L2 v Pembroke L1</v>
      </c>
    </row>
    <row r="172" ht="16.5" customHeight="1">
      <c r="A172" s="94" t="str">
        <f t="shared" si="12"/>
        <v>LadiesL3AwayCupQuarter</v>
      </c>
      <c r="B172" s="104"/>
      <c r="C172" s="76">
        <v>159.0</v>
      </c>
      <c r="D172" s="77">
        <v>46002.0</v>
      </c>
      <c r="E172" s="78">
        <f t="shared" si="10"/>
        <v>46002</v>
      </c>
      <c r="F172" s="79">
        <v>0.8333333333333334</v>
      </c>
      <c r="G172" s="102" t="s">
        <v>34</v>
      </c>
      <c r="H172" s="80" t="s">
        <v>53</v>
      </c>
      <c r="I172" s="81" t="s">
        <v>134</v>
      </c>
      <c r="J172" s="82" t="s">
        <v>131</v>
      </c>
      <c r="K172" s="83" t="s">
        <v>3</v>
      </c>
      <c r="L172" s="84" t="s">
        <v>54</v>
      </c>
      <c r="M172" s="85" t="s">
        <v>28</v>
      </c>
      <c r="N172" s="87" t="s">
        <v>42</v>
      </c>
      <c r="O172" s="82" t="s">
        <v>114</v>
      </c>
      <c r="P172" s="82" t="s">
        <v>37</v>
      </c>
      <c r="Q172" s="88" t="s">
        <v>114</v>
      </c>
      <c r="R172" s="98"/>
      <c r="S172" s="90" t="s">
        <v>40</v>
      </c>
      <c r="T172" s="90" t="s">
        <v>44</v>
      </c>
      <c r="U172" s="91" t="str">
        <f t="shared" si="11"/>
        <v>MP L3 v Portarlington L1</v>
      </c>
    </row>
    <row r="173" ht="16.5" customHeight="1">
      <c r="A173" s="94" t="str">
        <f t="shared" si="12"/>
        <v>LadiesL4HomeCupQuarter</v>
      </c>
      <c r="B173" s="104"/>
      <c r="C173" s="92">
        <v>160.0</v>
      </c>
      <c r="D173" s="77">
        <v>45988.0</v>
      </c>
      <c r="E173" s="78">
        <f t="shared" si="10"/>
        <v>45988</v>
      </c>
      <c r="F173" s="79">
        <v>0.7916666666666666</v>
      </c>
      <c r="G173" s="102" t="s">
        <v>34</v>
      </c>
      <c r="H173" s="80" t="s">
        <v>60</v>
      </c>
      <c r="I173" s="81" t="s">
        <v>134</v>
      </c>
      <c r="J173" s="82" t="s">
        <v>131</v>
      </c>
      <c r="K173" s="83" t="s">
        <v>3</v>
      </c>
      <c r="L173" s="84" t="s">
        <v>61</v>
      </c>
      <c r="M173" s="85" t="s">
        <v>28</v>
      </c>
      <c r="N173" s="87" t="s">
        <v>38</v>
      </c>
      <c r="O173" s="82" t="s">
        <v>57</v>
      </c>
      <c r="P173" s="82" t="s">
        <v>46</v>
      </c>
      <c r="Q173" s="88" t="s">
        <v>3</v>
      </c>
      <c r="R173" s="98"/>
      <c r="S173" s="90" t="s">
        <v>40</v>
      </c>
      <c r="T173" s="90" t="s">
        <v>41</v>
      </c>
      <c r="U173" s="91" t="str">
        <f t="shared" si="11"/>
        <v>MP L4 v Old School L2</v>
      </c>
    </row>
    <row r="174" ht="16.5" customHeight="1">
      <c r="A174" s="94" t="str">
        <f t="shared" si="12"/>
        <v>LadiesL5AwayCup16th</v>
      </c>
      <c r="B174" s="104"/>
      <c r="C174" s="76">
        <v>161.0</v>
      </c>
      <c r="D174" s="77">
        <v>45981.0</v>
      </c>
      <c r="E174" s="78">
        <f t="shared" si="10"/>
        <v>45981</v>
      </c>
      <c r="F174" s="79">
        <v>0.875</v>
      </c>
      <c r="G174" s="102" t="s">
        <v>34</v>
      </c>
      <c r="H174" s="80" t="s">
        <v>69</v>
      </c>
      <c r="I174" s="81" t="s">
        <v>135</v>
      </c>
      <c r="J174" s="82" t="s">
        <v>131</v>
      </c>
      <c r="K174" s="83" t="s">
        <v>3</v>
      </c>
      <c r="L174" s="84" t="s">
        <v>70</v>
      </c>
      <c r="M174" s="85" t="s">
        <v>28</v>
      </c>
      <c r="N174" s="87" t="s">
        <v>42</v>
      </c>
      <c r="O174" s="82" t="s">
        <v>136</v>
      </c>
      <c r="P174" s="82" t="s">
        <v>37</v>
      </c>
      <c r="Q174" s="88" t="s">
        <v>137</v>
      </c>
      <c r="R174" s="98"/>
      <c r="S174" s="90" t="s">
        <v>40</v>
      </c>
      <c r="T174" s="90" t="s">
        <v>44</v>
      </c>
      <c r="U174" s="91" t="str">
        <f t="shared" si="11"/>
        <v>MP L5 v Baldoyle District L1</v>
      </c>
    </row>
    <row r="175" ht="16.5" customHeight="1">
      <c r="A175" s="94" t="str">
        <f t="shared" si="12"/>
        <v>MensM1HomeCupQuarter</v>
      </c>
      <c r="B175" s="104"/>
      <c r="C175" s="92">
        <v>162.0</v>
      </c>
      <c r="D175" s="77">
        <v>45996.0</v>
      </c>
      <c r="E175" s="78">
        <f t="shared" si="10"/>
        <v>45996</v>
      </c>
      <c r="F175" s="79">
        <v>0.8333333333333334</v>
      </c>
      <c r="G175" s="102" t="s">
        <v>78</v>
      </c>
      <c r="H175" s="80" t="s">
        <v>35</v>
      </c>
      <c r="I175" s="81" t="s">
        <v>134</v>
      </c>
      <c r="J175" s="82" t="s">
        <v>131</v>
      </c>
      <c r="K175" s="83" t="s">
        <v>3</v>
      </c>
      <c r="L175" s="84" t="s">
        <v>79</v>
      </c>
      <c r="M175" s="85" t="s">
        <v>28</v>
      </c>
      <c r="N175" s="87" t="s">
        <v>38</v>
      </c>
      <c r="O175" s="82" t="s">
        <v>58</v>
      </c>
      <c r="P175" s="82" t="s">
        <v>79</v>
      </c>
      <c r="Q175" s="88" t="s">
        <v>3</v>
      </c>
      <c r="R175" s="98"/>
      <c r="S175" s="90" t="s">
        <v>40</v>
      </c>
      <c r="T175" s="90" t="s">
        <v>41</v>
      </c>
      <c r="U175" s="91" t="str">
        <f t="shared" si="11"/>
        <v>MP M1 v Laochra M1</v>
      </c>
    </row>
    <row r="176" ht="16.5" customHeight="1">
      <c r="A176" s="94" t="str">
        <f t="shared" si="12"/>
        <v>MensM2HomeCupQuarter</v>
      </c>
      <c r="B176" s="104"/>
      <c r="C176" s="76">
        <v>163.0</v>
      </c>
      <c r="D176" s="77">
        <v>45993.0</v>
      </c>
      <c r="E176" s="78">
        <f t="shared" si="10"/>
        <v>45993</v>
      </c>
      <c r="F176" s="79">
        <v>0.7916666666666666</v>
      </c>
      <c r="G176" s="102" t="s">
        <v>78</v>
      </c>
      <c r="H176" s="80" t="s">
        <v>35</v>
      </c>
      <c r="I176" s="81" t="s">
        <v>134</v>
      </c>
      <c r="J176" s="82" t="s">
        <v>131</v>
      </c>
      <c r="K176" s="83" t="s">
        <v>3</v>
      </c>
      <c r="L176" s="84" t="s">
        <v>80</v>
      </c>
      <c r="M176" s="85" t="s">
        <v>28</v>
      </c>
      <c r="N176" s="87" t="s">
        <v>38</v>
      </c>
      <c r="O176" s="82" t="s">
        <v>39</v>
      </c>
      <c r="P176" s="82" t="s">
        <v>79</v>
      </c>
      <c r="Q176" s="88" t="s">
        <v>3</v>
      </c>
      <c r="R176" s="98"/>
      <c r="S176" s="90" t="s">
        <v>40</v>
      </c>
      <c r="T176" s="90" t="s">
        <v>41</v>
      </c>
      <c r="U176" s="91" t="str">
        <f t="shared" si="11"/>
        <v>MP M2 v Ailesbury M1</v>
      </c>
    </row>
    <row r="177" ht="16.5" customHeight="1">
      <c r="A177" s="94" t="str">
        <f t="shared" si="12"/>
        <v>MensM3HomeCup16th</v>
      </c>
      <c r="B177" s="104"/>
      <c r="C177" s="92">
        <v>164.0</v>
      </c>
      <c r="D177" s="77">
        <v>45979.0</v>
      </c>
      <c r="E177" s="78">
        <f t="shared" si="10"/>
        <v>45979</v>
      </c>
      <c r="F177" s="79">
        <v>0.7916666666666666</v>
      </c>
      <c r="G177" s="102" t="s">
        <v>78</v>
      </c>
      <c r="H177" s="80" t="s">
        <v>53</v>
      </c>
      <c r="I177" s="81" t="s">
        <v>135</v>
      </c>
      <c r="J177" s="82" t="s">
        <v>131</v>
      </c>
      <c r="K177" s="83" t="s">
        <v>3</v>
      </c>
      <c r="L177" s="84" t="s">
        <v>81</v>
      </c>
      <c r="M177" s="85" t="s">
        <v>28</v>
      </c>
      <c r="N177" s="87" t="s">
        <v>38</v>
      </c>
      <c r="O177" s="82" t="s">
        <v>121</v>
      </c>
      <c r="P177" s="82" t="s">
        <v>79</v>
      </c>
      <c r="Q177" s="88" t="s">
        <v>3</v>
      </c>
      <c r="R177" s="98"/>
      <c r="S177" s="90" t="s">
        <v>40</v>
      </c>
      <c r="T177" s="90" t="s">
        <v>41</v>
      </c>
      <c r="U177" s="91" t="str">
        <f t="shared" si="11"/>
        <v>MP M3 v Roundwood M1</v>
      </c>
    </row>
    <row r="178" ht="16.5" customHeight="1">
      <c r="A178" s="94" t="str">
        <f t="shared" si="12"/>
        <v>MensM4HomeCup1st</v>
      </c>
      <c r="B178" s="104"/>
      <c r="C178" s="76">
        <v>165.0</v>
      </c>
      <c r="D178" s="77">
        <v>45951.0</v>
      </c>
      <c r="E178" s="78">
        <f t="shared" si="10"/>
        <v>45951</v>
      </c>
      <c r="F178" s="79">
        <v>0.8333333333333334</v>
      </c>
      <c r="G178" s="102" t="s">
        <v>78</v>
      </c>
      <c r="H178" s="80" t="s">
        <v>53</v>
      </c>
      <c r="I178" s="81" t="s">
        <v>138</v>
      </c>
      <c r="J178" s="82" t="s">
        <v>131</v>
      </c>
      <c r="K178" s="83" t="s">
        <v>3</v>
      </c>
      <c r="L178" s="84" t="s">
        <v>87</v>
      </c>
      <c r="M178" s="85" t="s">
        <v>28</v>
      </c>
      <c r="N178" s="87" t="s">
        <v>38</v>
      </c>
      <c r="O178" s="82" t="s">
        <v>85</v>
      </c>
      <c r="P178" s="82" t="s">
        <v>79</v>
      </c>
      <c r="Q178" s="88" t="s">
        <v>3</v>
      </c>
      <c r="R178" s="98"/>
      <c r="S178" s="90" t="s">
        <v>47</v>
      </c>
      <c r="T178" s="90" t="s">
        <v>41</v>
      </c>
      <c r="U178" s="91" t="str">
        <f t="shared" si="11"/>
        <v>MP M4 v Mullingar M1</v>
      </c>
    </row>
    <row r="179" ht="16.5" customHeight="1">
      <c r="A179" s="94" t="str">
        <f t="shared" si="12"/>
        <v>MensM5AwayCup16th</v>
      </c>
      <c r="B179" s="104"/>
      <c r="C179" s="92">
        <v>166.0</v>
      </c>
      <c r="D179" s="77">
        <v>45981.0</v>
      </c>
      <c r="E179" s="78">
        <f t="shared" si="10"/>
        <v>45981</v>
      </c>
      <c r="F179" s="79">
        <v>0.8333333333333334</v>
      </c>
      <c r="G179" s="102" t="s">
        <v>78</v>
      </c>
      <c r="H179" s="80" t="s">
        <v>53</v>
      </c>
      <c r="I179" s="81" t="s">
        <v>135</v>
      </c>
      <c r="J179" s="82" t="s">
        <v>131</v>
      </c>
      <c r="K179" s="83" t="s">
        <v>3</v>
      </c>
      <c r="L179" s="84" t="s">
        <v>89</v>
      </c>
      <c r="M179" s="85" t="s">
        <v>28</v>
      </c>
      <c r="N179" s="87" t="s">
        <v>42</v>
      </c>
      <c r="O179" s="82" t="s">
        <v>52</v>
      </c>
      <c r="P179" s="82" t="s">
        <v>87</v>
      </c>
      <c r="Q179" s="88" t="s">
        <v>51</v>
      </c>
      <c r="R179" s="98"/>
      <c r="S179" s="90" t="s">
        <v>40</v>
      </c>
      <c r="T179" s="90" t="s">
        <v>44</v>
      </c>
      <c r="U179" s="91" t="str">
        <f t="shared" si="11"/>
        <v>MP M5 v Pembroke M4</v>
      </c>
    </row>
    <row r="180" ht="16.5" customHeight="1">
      <c r="A180" s="94" t="str">
        <f t="shared" si="12"/>
        <v>MensM6AwayCup1st</v>
      </c>
      <c r="B180" s="104"/>
      <c r="C180" s="76">
        <v>167.0</v>
      </c>
      <c r="D180" s="77">
        <v>45968.0</v>
      </c>
      <c r="E180" s="78">
        <f t="shared" si="10"/>
        <v>45968</v>
      </c>
      <c r="F180" s="79">
        <v>0.8333333333333334</v>
      </c>
      <c r="G180" s="102" t="s">
        <v>78</v>
      </c>
      <c r="H180" s="80" t="s">
        <v>60</v>
      </c>
      <c r="I180" s="81" t="s">
        <v>138</v>
      </c>
      <c r="J180" s="82" t="s">
        <v>131</v>
      </c>
      <c r="K180" s="83" t="s">
        <v>3</v>
      </c>
      <c r="L180" s="84" t="s">
        <v>91</v>
      </c>
      <c r="M180" s="85" t="s">
        <v>28</v>
      </c>
      <c r="N180" s="87" t="s">
        <v>42</v>
      </c>
      <c r="O180" s="82" t="s">
        <v>139</v>
      </c>
      <c r="P180" s="82" t="s">
        <v>79</v>
      </c>
      <c r="Q180" s="88" t="s">
        <v>140</v>
      </c>
      <c r="R180" s="98"/>
      <c r="S180" s="90" t="s">
        <v>47</v>
      </c>
      <c r="T180" s="90" t="s">
        <v>44</v>
      </c>
      <c r="U180" s="91" t="str">
        <f t="shared" si="11"/>
        <v>MP M6 v Blackrock United M1</v>
      </c>
    </row>
    <row r="181" ht="16.5" customHeight="1">
      <c r="A181" s="94" t="str">
        <f t="shared" si="12"/>
        <v>MensM7HomeCup16th</v>
      </c>
      <c r="B181" s="104"/>
      <c r="C181" s="92">
        <v>168.0</v>
      </c>
      <c r="D181" s="77">
        <v>45960.0</v>
      </c>
      <c r="E181" s="78">
        <f t="shared" si="10"/>
        <v>45960</v>
      </c>
      <c r="F181" s="79">
        <v>0.7916666666666666</v>
      </c>
      <c r="G181" s="102" t="s">
        <v>78</v>
      </c>
      <c r="H181" s="80" t="s">
        <v>60</v>
      </c>
      <c r="I181" s="81" t="s">
        <v>135</v>
      </c>
      <c r="J181" s="82" t="s">
        <v>131</v>
      </c>
      <c r="K181" s="83" t="s">
        <v>3</v>
      </c>
      <c r="L181" s="84" t="s">
        <v>95</v>
      </c>
      <c r="M181" s="85" t="s">
        <v>28</v>
      </c>
      <c r="N181" s="87" t="s">
        <v>38</v>
      </c>
      <c r="O181" s="82" t="s">
        <v>88</v>
      </c>
      <c r="P181" s="82" t="s">
        <v>80</v>
      </c>
      <c r="Q181" s="88" t="s">
        <v>3</v>
      </c>
      <c r="R181" s="98"/>
      <c r="S181" s="90" t="s">
        <v>47</v>
      </c>
      <c r="T181" s="90" t="s">
        <v>41</v>
      </c>
      <c r="U181" s="91" t="str">
        <f t="shared" si="11"/>
        <v>MP M7 v Viking M2</v>
      </c>
    </row>
    <row r="182" ht="16.5" customHeight="1">
      <c r="A182" s="94" t="str">
        <f t="shared" si="12"/>
        <v>MensM8AwayCup16th</v>
      </c>
      <c r="B182" s="104"/>
      <c r="C182" s="76">
        <v>169.0</v>
      </c>
      <c r="D182" s="77">
        <v>45980.0</v>
      </c>
      <c r="E182" s="78">
        <f t="shared" si="10"/>
        <v>45980</v>
      </c>
      <c r="F182" s="79">
        <v>0.875</v>
      </c>
      <c r="G182" s="102" t="s">
        <v>78</v>
      </c>
      <c r="H182" s="80" t="s">
        <v>60</v>
      </c>
      <c r="I182" s="81" t="s">
        <v>135</v>
      </c>
      <c r="J182" s="82" t="s">
        <v>131</v>
      </c>
      <c r="K182" s="83" t="s">
        <v>3</v>
      </c>
      <c r="L182" s="84" t="s">
        <v>100</v>
      </c>
      <c r="M182" s="85" t="s">
        <v>28</v>
      </c>
      <c r="N182" s="87" t="s">
        <v>42</v>
      </c>
      <c r="O182" s="82" t="s">
        <v>125</v>
      </c>
      <c r="P182" s="82" t="s">
        <v>79</v>
      </c>
      <c r="Q182" s="88" t="s">
        <v>125</v>
      </c>
      <c r="R182" s="98"/>
      <c r="S182" s="90" t="s">
        <v>40</v>
      </c>
      <c r="T182" s="90" t="s">
        <v>44</v>
      </c>
      <c r="U182" s="91" t="str">
        <f t="shared" si="11"/>
        <v>MP M8 v Boyne M1</v>
      </c>
    </row>
    <row r="183" ht="16.5" customHeight="1">
      <c r="A183" s="94" t="str">
        <f t="shared" si="12"/>
        <v>MensM9HomeCup1st</v>
      </c>
      <c r="B183" s="104"/>
      <c r="C183" s="92">
        <v>170.0</v>
      </c>
      <c r="D183" s="77">
        <v>45953.0</v>
      </c>
      <c r="E183" s="78">
        <f t="shared" si="10"/>
        <v>45953</v>
      </c>
      <c r="F183" s="79">
        <v>0.8333333333333334</v>
      </c>
      <c r="G183" s="102" t="s">
        <v>78</v>
      </c>
      <c r="H183" s="80" t="s">
        <v>69</v>
      </c>
      <c r="I183" s="81" t="s">
        <v>138</v>
      </c>
      <c r="J183" s="82" t="s">
        <v>131</v>
      </c>
      <c r="K183" s="83" t="s">
        <v>3</v>
      </c>
      <c r="L183" s="84" t="s">
        <v>103</v>
      </c>
      <c r="M183" s="85" t="s">
        <v>28</v>
      </c>
      <c r="N183" s="87" t="s">
        <v>38</v>
      </c>
      <c r="O183" s="82" t="s">
        <v>141</v>
      </c>
      <c r="P183" s="82" t="s">
        <v>79</v>
      </c>
      <c r="Q183" s="88" t="s">
        <v>3</v>
      </c>
      <c r="R183" s="98"/>
      <c r="S183" s="90" t="s">
        <v>47</v>
      </c>
      <c r="T183" s="90" t="s">
        <v>41</v>
      </c>
      <c r="U183" s="91" t="str">
        <f t="shared" si="11"/>
        <v>MP M9 v ACBC M1</v>
      </c>
    </row>
    <row r="184" ht="16.5" customHeight="1">
      <c r="A184" s="94" t="str">
        <f t="shared" si="12"/>
        <v>MixedX1HomeCup16th</v>
      </c>
      <c r="B184" s="104"/>
      <c r="C184" s="76">
        <v>171.0</v>
      </c>
      <c r="D184" s="77">
        <v>45971.0</v>
      </c>
      <c r="E184" s="78">
        <f t="shared" si="10"/>
        <v>45971</v>
      </c>
      <c r="F184" s="79">
        <v>0.7916666666666666</v>
      </c>
      <c r="G184" s="102" t="s">
        <v>107</v>
      </c>
      <c r="H184" s="80" t="s">
        <v>35</v>
      </c>
      <c r="I184" s="81" t="s">
        <v>135</v>
      </c>
      <c r="J184" s="82" t="s">
        <v>131</v>
      </c>
      <c r="K184" s="83" t="s">
        <v>3</v>
      </c>
      <c r="L184" s="84" t="s">
        <v>108</v>
      </c>
      <c r="M184" s="85" t="s">
        <v>28</v>
      </c>
      <c r="N184" s="87" t="s">
        <v>38</v>
      </c>
      <c r="O184" s="82" t="s">
        <v>115</v>
      </c>
      <c r="P184" s="82" t="s">
        <v>108</v>
      </c>
      <c r="Q184" s="88" t="s">
        <v>3</v>
      </c>
      <c r="R184" s="98"/>
      <c r="S184" s="90" t="s">
        <v>47</v>
      </c>
      <c r="T184" s="90" t="s">
        <v>41</v>
      </c>
      <c r="U184" s="91" t="str">
        <f t="shared" si="11"/>
        <v>MP X1 v Trinity College X1</v>
      </c>
    </row>
    <row r="185" ht="16.5" customHeight="1">
      <c r="A185" s="94" t="str">
        <f t="shared" si="12"/>
        <v>MixedX2HomeCupQuarter</v>
      </c>
      <c r="B185" s="104"/>
      <c r="C185" s="92">
        <v>172.0</v>
      </c>
      <c r="D185" s="77">
        <v>46007.0</v>
      </c>
      <c r="E185" s="78">
        <f t="shared" si="10"/>
        <v>46007</v>
      </c>
      <c r="F185" s="79">
        <v>0.875</v>
      </c>
      <c r="G185" s="102" t="s">
        <v>107</v>
      </c>
      <c r="H185" s="80" t="s">
        <v>35</v>
      </c>
      <c r="I185" s="81" t="s">
        <v>134</v>
      </c>
      <c r="J185" s="82" t="s">
        <v>131</v>
      </c>
      <c r="K185" s="83" t="s">
        <v>3</v>
      </c>
      <c r="L185" s="84" t="s">
        <v>113</v>
      </c>
      <c r="M185" s="85" t="s">
        <v>28</v>
      </c>
      <c r="N185" s="87" t="s">
        <v>38</v>
      </c>
      <c r="O185" s="82" t="s">
        <v>58</v>
      </c>
      <c r="P185" s="82" t="s">
        <v>108</v>
      </c>
      <c r="Q185" s="88" t="s">
        <v>3</v>
      </c>
      <c r="R185" s="98"/>
      <c r="S185" s="90" t="s">
        <v>40</v>
      </c>
      <c r="T185" s="90" t="s">
        <v>41</v>
      </c>
      <c r="U185" s="91" t="str">
        <f t="shared" si="11"/>
        <v>MP X2 v Laochra X1</v>
      </c>
    </row>
    <row r="186" ht="16.5" customHeight="1">
      <c r="A186" s="94" t="str">
        <f t="shared" si="12"/>
        <v>MixedX3HomeCupQuarter</v>
      </c>
      <c r="B186" s="104"/>
      <c r="C186" s="76">
        <v>173.0</v>
      </c>
      <c r="D186" s="77">
        <v>45999.0</v>
      </c>
      <c r="E186" s="78">
        <f t="shared" si="10"/>
        <v>45999</v>
      </c>
      <c r="F186" s="79">
        <v>0.7916666666666666</v>
      </c>
      <c r="G186" s="102" t="s">
        <v>107</v>
      </c>
      <c r="H186" s="80" t="s">
        <v>35</v>
      </c>
      <c r="I186" s="81" t="s">
        <v>134</v>
      </c>
      <c r="J186" s="82" t="s">
        <v>131</v>
      </c>
      <c r="K186" s="83" t="s">
        <v>3</v>
      </c>
      <c r="L186" s="84" t="s">
        <v>110</v>
      </c>
      <c r="M186" s="85" t="s">
        <v>28</v>
      </c>
      <c r="N186" s="87" t="s">
        <v>38</v>
      </c>
      <c r="O186" s="82" t="s">
        <v>52</v>
      </c>
      <c r="P186" s="82" t="s">
        <v>108</v>
      </c>
      <c r="Q186" s="88" t="s">
        <v>3</v>
      </c>
      <c r="R186" s="98"/>
      <c r="S186" s="90" t="s">
        <v>40</v>
      </c>
      <c r="T186" s="90" t="s">
        <v>41</v>
      </c>
      <c r="U186" s="91" t="str">
        <f t="shared" si="11"/>
        <v>MP X3 v Pembroke X1</v>
      </c>
    </row>
    <row r="187" ht="16.5" customHeight="1">
      <c r="A187" s="94" t="str">
        <f t="shared" si="12"/>
        <v>MixedX4HomeCup16th</v>
      </c>
      <c r="B187" s="104"/>
      <c r="C187" s="92">
        <v>174.0</v>
      </c>
      <c r="D187" s="77">
        <v>45971.0</v>
      </c>
      <c r="E187" s="78">
        <f t="shared" si="10"/>
        <v>45971</v>
      </c>
      <c r="F187" s="79">
        <v>0.875</v>
      </c>
      <c r="G187" s="102" t="s">
        <v>107</v>
      </c>
      <c r="H187" s="80" t="s">
        <v>53</v>
      </c>
      <c r="I187" s="81" t="s">
        <v>135</v>
      </c>
      <c r="J187" s="82" t="s">
        <v>131</v>
      </c>
      <c r="K187" s="83" t="s">
        <v>3</v>
      </c>
      <c r="L187" s="84" t="s">
        <v>119</v>
      </c>
      <c r="M187" s="85" t="s">
        <v>28</v>
      </c>
      <c r="N187" s="87" t="s">
        <v>38</v>
      </c>
      <c r="O187" s="82" t="s">
        <v>73</v>
      </c>
      <c r="P187" s="82" t="s">
        <v>108</v>
      </c>
      <c r="Q187" s="88" t="s">
        <v>3</v>
      </c>
      <c r="R187" s="98"/>
      <c r="S187" s="90" t="s">
        <v>47</v>
      </c>
      <c r="T187" s="90" t="s">
        <v>41</v>
      </c>
      <c r="U187" s="91" t="str">
        <f t="shared" si="11"/>
        <v>MP X4 v South Dublin X1</v>
      </c>
    </row>
    <row r="188" ht="16.5" customHeight="1">
      <c r="A188" s="94" t="str">
        <f t="shared" si="12"/>
        <v>MixedX5HomeCupQuarter</v>
      </c>
      <c r="B188" s="104"/>
      <c r="C188" s="92">
        <v>175.0</v>
      </c>
      <c r="D188" s="77">
        <v>45994.0</v>
      </c>
      <c r="E188" s="78">
        <f t="shared" si="10"/>
        <v>45994</v>
      </c>
      <c r="F188" s="79">
        <v>0.7916666666666666</v>
      </c>
      <c r="G188" s="102" t="s">
        <v>107</v>
      </c>
      <c r="H188" s="80" t="s">
        <v>53</v>
      </c>
      <c r="I188" s="81" t="s">
        <v>134</v>
      </c>
      <c r="J188" s="82" t="s">
        <v>131</v>
      </c>
      <c r="K188" s="83" t="s">
        <v>3</v>
      </c>
      <c r="L188" s="84" t="s">
        <v>120</v>
      </c>
      <c r="M188" s="85" t="s">
        <v>28</v>
      </c>
      <c r="N188" s="87" t="s">
        <v>38</v>
      </c>
      <c r="O188" s="82" t="s">
        <v>57</v>
      </c>
      <c r="P188" s="82" t="s">
        <v>113</v>
      </c>
      <c r="Q188" s="88" t="s">
        <v>3</v>
      </c>
      <c r="R188" s="98"/>
      <c r="S188" s="90" t="s">
        <v>40</v>
      </c>
      <c r="T188" s="90" t="s">
        <v>41</v>
      </c>
      <c r="U188" s="91" t="str">
        <f t="shared" si="11"/>
        <v>MP X5 v Old School X2</v>
      </c>
    </row>
    <row r="189" ht="16.5" customHeight="1">
      <c r="A189" s="94" t="str">
        <f t="shared" si="12"/>
        <v>MixedX6HomeCup16th</v>
      </c>
      <c r="B189" s="104"/>
      <c r="C189" s="92">
        <v>176.0</v>
      </c>
      <c r="D189" s="77">
        <v>45965.0</v>
      </c>
      <c r="E189" s="78">
        <f t="shared" si="10"/>
        <v>45965</v>
      </c>
      <c r="F189" s="79">
        <v>0.7916666666666666</v>
      </c>
      <c r="G189" s="102" t="s">
        <v>107</v>
      </c>
      <c r="H189" s="80" t="s">
        <v>53</v>
      </c>
      <c r="I189" s="81" t="s">
        <v>135</v>
      </c>
      <c r="J189" s="82" t="s">
        <v>131</v>
      </c>
      <c r="K189" s="83" t="s">
        <v>3</v>
      </c>
      <c r="L189" s="84" t="s">
        <v>123</v>
      </c>
      <c r="M189" s="85" t="s">
        <v>28</v>
      </c>
      <c r="N189" s="87" t="s">
        <v>38</v>
      </c>
      <c r="O189" s="82" t="s">
        <v>121</v>
      </c>
      <c r="P189" s="82" t="s">
        <v>108</v>
      </c>
      <c r="Q189" s="88" t="s">
        <v>3</v>
      </c>
      <c r="R189" s="98"/>
      <c r="S189" s="90" t="s">
        <v>47</v>
      </c>
      <c r="T189" s="90" t="s">
        <v>41</v>
      </c>
      <c r="U189" s="91" t="str">
        <f t="shared" si="11"/>
        <v>MP X6 v Roundwood X1</v>
      </c>
    </row>
    <row r="190" ht="16.5" customHeight="1">
      <c r="A190" s="94" t="str">
        <f t="shared" si="12"/>
        <v>MixedX7HomeCup16th</v>
      </c>
      <c r="B190" s="104"/>
      <c r="C190" s="92">
        <v>177.0</v>
      </c>
      <c r="D190" s="77">
        <v>45971.0</v>
      </c>
      <c r="E190" s="78">
        <f t="shared" si="10"/>
        <v>45971</v>
      </c>
      <c r="F190" s="79">
        <v>0.7916666666666666</v>
      </c>
      <c r="G190" s="102" t="s">
        <v>107</v>
      </c>
      <c r="H190" s="80" t="s">
        <v>60</v>
      </c>
      <c r="I190" s="81" t="s">
        <v>135</v>
      </c>
      <c r="J190" s="82" t="s">
        <v>131</v>
      </c>
      <c r="K190" s="83" t="s">
        <v>3</v>
      </c>
      <c r="L190" s="84" t="s">
        <v>124</v>
      </c>
      <c r="M190" s="85" t="s">
        <v>28</v>
      </c>
      <c r="N190" s="87" t="s">
        <v>38</v>
      </c>
      <c r="O190" s="82" t="s">
        <v>39</v>
      </c>
      <c r="P190" s="82" t="s">
        <v>120</v>
      </c>
      <c r="Q190" s="88" t="s">
        <v>3</v>
      </c>
      <c r="R190" s="98"/>
      <c r="S190" s="90" t="s">
        <v>47</v>
      </c>
      <c r="T190" s="90" t="s">
        <v>41</v>
      </c>
      <c r="U190" s="91" t="str">
        <f t="shared" si="11"/>
        <v>MP X7 v Ailesbury X5</v>
      </c>
    </row>
    <row r="191" ht="16.5" customHeight="1">
      <c r="A191" s="94" t="str">
        <f t="shared" si="12"/>
        <v>MixedX8AwayCup16th</v>
      </c>
      <c r="B191" s="104"/>
      <c r="C191" s="92">
        <v>178.0</v>
      </c>
      <c r="D191" s="77">
        <v>45975.0</v>
      </c>
      <c r="E191" s="78">
        <f t="shared" si="10"/>
        <v>45975</v>
      </c>
      <c r="F191" s="79">
        <v>0.8125</v>
      </c>
      <c r="G191" s="102" t="s">
        <v>107</v>
      </c>
      <c r="H191" s="80" t="s">
        <v>69</v>
      </c>
      <c r="I191" s="81" t="s">
        <v>135</v>
      </c>
      <c r="J191" s="82" t="s">
        <v>131</v>
      </c>
      <c r="K191" s="83" t="s">
        <v>3</v>
      </c>
      <c r="L191" s="84" t="s">
        <v>127</v>
      </c>
      <c r="M191" s="85" t="s">
        <v>28</v>
      </c>
      <c r="N191" s="87" t="s">
        <v>42</v>
      </c>
      <c r="O191" s="82" t="s">
        <v>142</v>
      </c>
      <c r="P191" s="82" t="s">
        <v>110</v>
      </c>
      <c r="Q191" s="88" t="s">
        <v>143</v>
      </c>
      <c r="R191" s="98"/>
      <c r="S191" s="90" t="s">
        <v>47</v>
      </c>
      <c r="T191" s="90" t="s">
        <v>44</v>
      </c>
      <c r="U191" s="91" t="str">
        <f t="shared" si="11"/>
        <v>MP X8 v Sheriff X3</v>
      </c>
    </row>
    <row r="192" ht="16.5" customHeight="1">
      <c r="A192" s="94" t="str">
        <f t="shared" si="12"/>
        <v>MensM4HomeCup16th</v>
      </c>
      <c r="B192" s="104"/>
      <c r="C192" s="92">
        <v>179.0</v>
      </c>
      <c r="D192" s="77">
        <v>45964.0</v>
      </c>
      <c r="E192" s="78">
        <f t="shared" si="10"/>
        <v>45964</v>
      </c>
      <c r="F192" s="79">
        <v>0.7916666666666666</v>
      </c>
      <c r="G192" s="102" t="s">
        <v>78</v>
      </c>
      <c r="H192" s="80" t="s">
        <v>53</v>
      </c>
      <c r="I192" s="81" t="s">
        <v>135</v>
      </c>
      <c r="J192" s="82" t="s">
        <v>131</v>
      </c>
      <c r="K192" s="83" t="s">
        <v>3</v>
      </c>
      <c r="L192" s="84" t="s">
        <v>87</v>
      </c>
      <c r="M192" s="85" t="s">
        <v>28</v>
      </c>
      <c r="N192" s="87" t="s">
        <v>38</v>
      </c>
      <c r="O192" s="82" t="s">
        <v>39</v>
      </c>
      <c r="P192" s="82" t="s">
        <v>81</v>
      </c>
      <c r="Q192" s="88" t="s">
        <v>3</v>
      </c>
      <c r="R192" s="98"/>
      <c r="S192" s="90" t="s">
        <v>47</v>
      </c>
      <c r="T192" s="90" t="s">
        <v>41</v>
      </c>
      <c r="U192" s="91" t="str">
        <f t="shared" si="11"/>
        <v>MP M4 v Ailesbury M3</v>
      </c>
    </row>
    <row r="193" ht="16.5" customHeight="1">
      <c r="A193" s="94" t="str">
        <f t="shared" si="12"/>
        <v>MensM4HomeCupQuarter</v>
      </c>
      <c r="B193" s="104"/>
      <c r="C193" s="92">
        <v>180.0</v>
      </c>
      <c r="D193" s="77">
        <v>45995.0</v>
      </c>
      <c r="E193" s="78">
        <f t="shared" si="10"/>
        <v>45995</v>
      </c>
      <c r="F193" s="79">
        <v>0.875</v>
      </c>
      <c r="G193" s="102" t="s">
        <v>78</v>
      </c>
      <c r="H193" s="103" t="s">
        <v>53</v>
      </c>
      <c r="I193" s="81" t="s">
        <v>134</v>
      </c>
      <c r="J193" s="82" t="s">
        <v>131</v>
      </c>
      <c r="K193" s="83" t="s">
        <v>3</v>
      </c>
      <c r="L193" s="84" t="s">
        <v>87</v>
      </c>
      <c r="M193" s="85" t="s">
        <v>28</v>
      </c>
      <c r="N193" s="87" t="s">
        <v>38</v>
      </c>
      <c r="O193" s="111" t="s">
        <v>52</v>
      </c>
      <c r="P193" s="112" t="s">
        <v>81</v>
      </c>
      <c r="Q193" s="88" t="s">
        <v>3</v>
      </c>
      <c r="R193" s="113"/>
      <c r="S193" s="90" t="s">
        <v>40</v>
      </c>
      <c r="T193" s="90" t="s">
        <v>41</v>
      </c>
      <c r="U193" s="91" t="str">
        <f t="shared" si="11"/>
        <v>MP M4 v Pembroke M3</v>
      </c>
    </row>
    <row r="194" ht="16.5" customHeight="1">
      <c r="A194" s="94" t="str">
        <f t="shared" si="12"/>
        <v>MensM7AwayCupQuarter</v>
      </c>
      <c r="B194" s="104"/>
      <c r="C194" s="92">
        <v>181.0</v>
      </c>
      <c r="D194" s="77">
        <v>45979.0</v>
      </c>
      <c r="E194" s="78">
        <f t="shared" si="10"/>
        <v>45979</v>
      </c>
      <c r="F194" s="79">
        <v>0.8333333333333334</v>
      </c>
      <c r="G194" s="102" t="s">
        <v>78</v>
      </c>
      <c r="H194" s="80" t="s">
        <v>60</v>
      </c>
      <c r="I194" s="81" t="s">
        <v>134</v>
      </c>
      <c r="J194" s="82" t="s">
        <v>131</v>
      </c>
      <c r="K194" s="83" t="s">
        <v>3</v>
      </c>
      <c r="L194" s="84" t="s">
        <v>95</v>
      </c>
      <c r="M194" s="85" t="s">
        <v>28</v>
      </c>
      <c r="N194" s="87" t="s">
        <v>42</v>
      </c>
      <c r="O194" s="82" t="s">
        <v>67</v>
      </c>
      <c r="P194" s="82" t="s">
        <v>80</v>
      </c>
      <c r="Q194" s="88" t="s">
        <v>68</v>
      </c>
      <c r="R194" s="98"/>
      <c r="S194" s="90" t="s">
        <v>40</v>
      </c>
      <c r="T194" s="90" t="s">
        <v>41</v>
      </c>
      <c r="U194" s="91" t="str">
        <f t="shared" si="11"/>
        <v>MP M7 v U.C.D. M2</v>
      </c>
    </row>
    <row r="195" ht="16.5" customHeight="1">
      <c r="A195" s="94" t="str">
        <f t="shared" si="12"/>
        <v>MixedX4AwayCupQuarter</v>
      </c>
      <c r="B195" s="104"/>
      <c r="C195" s="92">
        <v>182.0</v>
      </c>
      <c r="D195" s="77">
        <v>46007.0</v>
      </c>
      <c r="E195" s="78">
        <f t="shared" si="10"/>
        <v>46007</v>
      </c>
      <c r="F195" s="79">
        <v>0.8333333333333334</v>
      </c>
      <c r="G195" s="102" t="s">
        <v>107</v>
      </c>
      <c r="H195" s="80" t="s">
        <v>53</v>
      </c>
      <c r="I195" s="81" t="s">
        <v>134</v>
      </c>
      <c r="J195" s="82" t="s">
        <v>131</v>
      </c>
      <c r="K195" s="83" t="s">
        <v>3</v>
      </c>
      <c r="L195" s="84" t="s">
        <v>119</v>
      </c>
      <c r="M195" s="85" t="s">
        <v>28</v>
      </c>
      <c r="N195" s="87" t="s">
        <v>42</v>
      </c>
      <c r="O195" s="82" t="s">
        <v>55</v>
      </c>
      <c r="P195" s="82" t="s">
        <v>108</v>
      </c>
      <c r="Q195" s="88" t="s">
        <v>56</v>
      </c>
      <c r="R195" s="98"/>
      <c r="S195" s="90" t="s">
        <v>40</v>
      </c>
      <c r="T195" s="90" t="s">
        <v>44</v>
      </c>
      <c r="U195" s="91" t="str">
        <f t="shared" si="11"/>
        <v>MP X4 v KADCA X1</v>
      </c>
    </row>
    <row r="196" ht="16.5" customHeight="1">
      <c r="A196" s="94" t="str">
        <f t="shared" si="12"/>
        <v>MixedX7AwayCupQuarter</v>
      </c>
      <c r="B196" s="104"/>
      <c r="C196" s="92">
        <v>183.0</v>
      </c>
      <c r="D196" s="77">
        <v>45992.0</v>
      </c>
      <c r="E196" s="78">
        <f t="shared" si="10"/>
        <v>45992</v>
      </c>
      <c r="F196" s="79">
        <v>0.8333333333333334</v>
      </c>
      <c r="G196" s="102" t="s">
        <v>107</v>
      </c>
      <c r="H196" s="80" t="s">
        <v>60</v>
      </c>
      <c r="I196" s="81" t="s">
        <v>134</v>
      </c>
      <c r="J196" s="82" t="s">
        <v>131</v>
      </c>
      <c r="K196" s="83" t="s">
        <v>3</v>
      </c>
      <c r="L196" s="84" t="s">
        <v>124</v>
      </c>
      <c r="M196" s="85" t="s">
        <v>28</v>
      </c>
      <c r="N196" s="87" t="s">
        <v>42</v>
      </c>
      <c r="O196" s="82" t="s">
        <v>57</v>
      </c>
      <c r="P196" s="82" t="s">
        <v>110</v>
      </c>
      <c r="Q196" s="88" t="s">
        <v>51</v>
      </c>
      <c r="R196" s="98"/>
      <c r="S196" s="90" t="s">
        <v>40</v>
      </c>
      <c r="T196" s="90" t="s">
        <v>44</v>
      </c>
      <c r="U196" s="91" t="str">
        <f t="shared" si="11"/>
        <v>MP X7 v Old School X3</v>
      </c>
    </row>
    <row r="197" ht="16.5" customHeight="1">
      <c r="A197" s="94" t="str">
        <f t="shared" si="12"/>
        <v>MixedX1HomeCupQuarter</v>
      </c>
      <c r="B197" s="104"/>
      <c r="C197" s="92">
        <v>184.0</v>
      </c>
      <c r="D197" s="77">
        <v>45992.0</v>
      </c>
      <c r="E197" s="78">
        <f t="shared" si="10"/>
        <v>45992</v>
      </c>
      <c r="F197" s="79">
        <v>0.875</v>
      </c>
      <c r="G197" s="102" t="s">
        <v>107</v>
      </c>
      <c r="H197" s="80" t="s">
        <v>35</v>
      </c>
      <c r="I197" s="81" t="s">
        <v>134</v>
      </c>
      <c r="J197" s="82" t="s">
        <v>131</v>
      </c>
      <c r="K197" s="83" t="s">
        <v>3</v>
      </c>
      <c r="L197" s="84" t="s">
        <v>108</v>
      </c>
      <c r="M197" s="85" t="s">
        <v>28</v>
      </c>
      <c r="N197" s="87" t="s">
        <v>38</v>
      </c>
      <c r="O197" s="82" t="s">
        <v>114</v>
      </c>
      <c r="P197" s="82" t="s">
        <v>108</v>
      </c>
      <c r="Q197" s="88" t="s">
        <v>3</v>
      </c>
      <c r="R197" s="98"/>
      <c r="S197" s="90" t="s">
        <v>40</v>
      </c>
      <c r="T197" s="90" t="s">
        <v>41</v>
      </c>
      <c r="U197" s="91" t="str">
        <f t="shared" si="11"/>
        <v>MP X1 v Portarlington X1</v>
      </c>
    </row>
    <row r="198" ht="16.5" customHeight="1">
      <c r="A198" s="94" t="str">
        <f t="shared" si="12"/>
        <v>MensM3AwayCupQuarter</v>
      </c>
      <c r="B198" s="104"/>
      <c r="C198" s="92">
        <v>185.0</v>
      </c>
      <c r="D198" s="77">
        <v>46010.0</v>
      </c>
      <c r="E198" s="78">
        <f t="shared" si="10"/>
        <v>46010</v>
      </c>
      <c r="F198" s="79" t="s">
        <v>144</v>
      </c>
      <c r="G198" s="102" t="s">
        <v>78</v>
      </c>
      <c r="H198" s="80" t="s">
        <v>53</v>
      </c>
      <c r="I198" s="81" t="s">
        <v>134</v>
      </c>
      <c r="J198" s="82" t="s">
        <v>131</v>
      </c>
      <c r="K198" s="83" t="s">
        <v>3</v>
      </c>
      <c r="L198" s="84" t="s">
        <v>81</v>
      </c>
      <c r="M198" s="85" t="s">
        <v>28</v>
      </c>
      <c r="N198" s="87" t="s">
        <v>42</v>
      </c>
      <c r="O198" s="82" t="s">
        <v>82</v>
      </c>
      <c r="P198" s="82" t="s">
        <v>79</v>
      </c>
      <c r="Q198" s="88" t="s">
        <v>84</v>
      </c>
      <c r="R198" s="98"/>
      <c r="S198" s="90" t="s">
        <v>111</v>
      </c>
      <c r="T198" s="90" t="s">
        <v>44</v>
      </c>
      <c r="U198" s="91" t="str">
        <f t="shared" si="11"/>
        <v>MP M3 v Kildalkey M1</v>
      </c>
    </row>
    <row r="199" ht="16.5" customHeight="1">
      <c r="A199" s="94" t="str">
        <f t="shared" si="12"/>
        <v>MensM8HomeCupQuarter</v>
      </c>
      <c r="B199" s="104"/>
      <c r="C199" s="92">
        <v>186.0</v>
      </c>
      <c r="D199" s="77">
        <v>45991.0</v>
      </c>
      <c r="E199" s="78">
        <f t="shared" si="10"/>
        <v>45991</v>
      </c>
      <c r="F199" s="79">
        <v>0.7916666666666666</v>
      </c>
      <c r="G199" s="102" t="s">
        <v>78</v>
      </c>
      <c r="H199" s="80" t="s">
        <v>60</v>
      </c>
      <c r="I199" s="81" t="s">
        <v>134</v>
      </c>
      <c r="J199" s="82" t="s">
        <v>131</v>
      </c>
      <c r="K199" s="83" t="s">
        <v>3</v>
      </c>
      <c r="L199" s="84" t="s">
        <v>100</v>
      </c>
      <c r="M199" s="85" t="s">
        <v>28</v>
      </c>
      <c r="N199" s="87" t="s">
        <v>38</v>
      </c>
      <c r="O199" s="82" t="s">
        <v>62</v>
      </c>
      <c r="P199" s="82" t="s">
        <v>79</v>
      </c>
      <c r="Q199" s="88" t="s">
        <v>3</v>
      </c>
      <c r="R199" s="98"/>
      <c r="S199" s="90" t="s">
        <v>40</v>
      </c>
      <c r="T199" s="90" t="s">
        <v>18</v>
      </c>
      <c r="U199" s="91" t="str">
        <f t="shared" si="11"/>
        <v>MP M8 v ESB M1</v>
      </c>
    </row>
    <row r="200" ht="16.5" customHeight="1">
      <c r="A200" s="94" t="str">
        <f t="shared" si="12"/>
        <v>LadiesL5HomeCupQuarter</v>
      </c>
      <c r="B200" s="104"/>
      <c r="C200" s="92">
        <v>187.0</v>
      </c>
      <c r="D200" s="77" t="s">
        <v>145</v>
      </c>
      <c r="E200" s="78" t="str">
        <f t="shared" si="10"/>
        <v>By Dec 18th</v>
      </c>
      <c r="F200" s="79" t="s">
        <v>144</v>
      </c>
      <c r="G200" s="102" t="s">
        <v>34</v>
      </c>
      <c r="H200" s="80" t="s">
        <v>69</v>
      </c>
      <c r="I200" s="81" t="s">
        <v>134</v>
      </c>
      <c r="J200" s="82" t="s">
        <v>131</v>
      </c>
      <c r="K200" s="83" t="s">
        <v>3</v>
      </c>
      <c r="L200" s="84" t="s">
        <v>70</v>
      </c>
      <c r="M200" s="85" t="s">
        <v>28</v>
      </c>
      <c r="N200" s="87" t="s">
        <v>38</v>
      </c>
      <c r="O200" s="82" t="s">
        <v>73</v>
      </c>
      <c r="P200" s="82" t="s">
        <v>61</v>
      </c>
      <c r="Q200" s="88" t="s">
        <v>3</v>
      </c>
      <c r="R200" s="98"/>
      <c r="S200" s="90" t="s">
        <v>111</v>
      </c>
      <c r="T200" s="90" t="s">
        <v>18</v>
      </c>
      <c r="U200" s="91" t="str">
        <f t="shared" si="11"/>
        <v>MP L5 v South Dublin L4</v>
      </c>
    </row>
    <row r="201" ht="16.5" customHeight="1">
      <c r="A201" s="94" t="str">
        <f t="shared" si="12"/>
        <v>MensM5AwayCupQuarter</v>
      </c>
      <c r="B201" s="104"/>
      <c r="C201" s="92">
        <v>188.0</v>
      </c>
      <c r="D201" s="77" t="s">
        <v>145</v>
      </c>
      <c r="E201" s="78" t="str">
        <f t="shared" si="10"/>
        <v>By Dec 18th</v>
      </c>
      <c r="F201" s="79" t="s">
        <v>144</v>
      </c>
      <c r="G201" s="102" t="s">
        <v>78</v>
      </c>
      <c r="H201" s="80" t="s">
        <v>53</v>
      </c>
      <c r="I201" s="81" t="s">
        <v>134</v>
      </c>
      <c r="J201" s="82" t="s">
        <v>131</v>
      </c>
      <c r="K201" s="83" t="s">
        <v>3</v>
      </c>
      <c r="L201" s="84" t="s">
        <v>89</v>
      </c>
      <c r="M201" s="85" t="s">
        <v>28</v>
      </c>
      <c r="N201" s="87" t="s">
        <v>42</v>
      </c>
      <c r="O201" s="82" t="s">
        <v>146</v>
      </c>
      <c r="P201" s="82" t="s">
        <v>79</v>
      </c>
      <c r="Q201" s="88" t="s">
        <v>51</v>
      </c>
      <c r="R201" s="98"/>
      <c r="S201" s="90" t="s">
        <v>111</v>
      </c>
      <c r="T201" s="90" t="s">
        <v>18</v>
      </c>
      <c r="U201" s="91" t="str">
        <f t="shared" si="11"/>
        <v>MP M5 v Vikings M1</v>
      </c>
    </row>
  </sheetData>
  <customSheetViews>
    <customSheetView guid="{668C3012-8E08-4BBA-BD45-BE7F20E90927}" filter="1" showAutoFilter="1">
      <autoFilter ref="$A$13:$S$189">
        <filterColumn colId="14">
          <filters>
            <filter val="ACBC"/>
          </filters>
        </filterColumn>
        <sortState ref="A13:S189">
          <sortCondition ref="C13:C189"/>
          <sortCondition ref="D13:D189"/>
        </sortState>
      </autoFilter>
    </customSheetView>
    <customSheetView guid="{64396070-B6FB-4955-8135-633CE2F14094}" filter="1" showAutoFilter="1">
      <autoFilter ref="$A$13:$S$189">
        <filterColumn colId="14">
          <filters>
            <filter val="Old School"/>
            <filter val="South Dublin"/>
            <filter val="Pembroke"/>
            <filter val="Viking"/>
            <filter val="Ailesbury"/>
            <filter val="Laochra"/>
            <filter val="Mount Pleasant"/>
            <filter val="New Dawn"/>
            <filter val="KADCA"/>
            <filter val="Hotshots"/>
          </filters>
        </filterColumn>
        <sortState ref="A13:S189">
          <sortCondition ref="O13:O189"/>
          <sortCondition ref="C13:C189"/>
          <sortCondition ref="D13:D189"/>
        </sortState>
      </autoFilter>
    </customSheetView>
  </customSheetViews>
  <mergeCells count="7">
    <mergeCell ref="E2:P2"/>
    <mergeCell ref="E4:P4"/>
    <mergeCell ref="E7:N7"/>
    <mergeCell ref="O9:P9"/>
    <mergeCell ref="D12:F12"/>
    <mergeCell ref="G12:J12"/>
    <mergeCell ref="K12:P12"/>
  </mergeCells>
  <dataValidations>
    <dataValidation type="list" allowBlank="1" showErrorMessage="1" sqref="S14:S201 U14:U201">
      <formula1>"Confirmed,Not confirmed,Completed,Walkover,Pulled Out,Pending Minor Change,Rescheduled"</formula1>
    </dataValidation>
    <dataValidation type="list" allowBlank="1" showErrorMessage="1" sqref="T14:T201">
      <formula1>"Yes,No,No Need"</formula1>
    </dataValidation>
  </dataValidations>
  <hyperlinks>
    <hyperlink r:id="rId1" ref="S7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13"/>
    <col customWidth="1" min="2" max="2" width="17.13"/>
    <col customWidth="1" min="3" max="3" width="11.63"/>
    <col customWidth="1" min="4" max="4" width="13.38"/>
    <col customWidth="1" min="5" max="7" width="22.75"/>
    <col hidden="1" min="8" max="11" width="12.63"/>
  </cols>
  <sheetData>
    <row r="1" ht="30.0" customHeight="1">
      <c r="A1" s="114" t="s">
        <v>147</v>
      </c>
      <c r="B1" s="115" t="s">
        <v>108</v>
      </c>
      <c r="C1" s="116"/>
      <c r="D1" s="116"/>
      <c r="E1" s="116"/>
      <c r="F1" s="116"/>
      <c r="G1" s="116"/>
      <c r="H1" s="116" t="str">
        <f>IFERROR(__xludf.DUMMYFUNCTION("FILTER(Teams!D:G, Teams!B:B = $B1)"),"Nejc Ceplak")</f>
        <v>Nejc Ceplak</v>
      </c>
      <c r="I1" s="116" t="str">
        <f>IFERROR(__xludf.DUMMYFUNCTION("""COMPUTED_VALUE"""),"Robbie Frost")</f>
        <v>Robbie Frost</v>
      </c>
      <c r="J1" s="116" t="str">
        <f>IFERROR(__xludf.DUMMYFUNCTION("""COMPUTED_VALUE"""),"Kate Frost")</f>
        <v>Kate Frost</v>
      </c>
      <c r="K1" s="116" t="str">
        <f>IFERROR(__xludf.DUMMYFUNCTION("""COMPUTED_VALUE"""),"Grace Webster")</f>
        <v>Grace Webster</v>
      </c>
    </row>
    <row r="2">
      <c r="A2" s="117" t="s">
        <v>19</v>
      </c>
      <c r="B2" s="117" t="s">
        <v>148</v>
      </c>
      <c r="C2" s="117" t="s">
        <v>149</v>
      </c>
      <c r="D2" s="117" t="s">
        <v>150</v>
      </c>
      <c r="E2" s="117" t="s">
        <v>151</v>
      </c>
      <c r="F2" s="117" t="s">
        <v>152</v>
      </c>
      <c r="G2" s="117" t="s">
        <v>153</v>
      </c>
    </row>
    <row r="3">
      <c r="A3" s="118">
        <v>45943.0</v>
      </c>
      <c r="B3" s="119">
        <f>IFERROR(__xludf.DUMMYFUNCTION("COUNTIFS(MAP(FILTER($H$1:$K$1, $H$1:$K$1 &lt;&gt; """"), LAMBDA(player, IFNA(INDEX(Availability!$A:$AAA, MATCH($A3, Availability!$A:$A, 0), MATCH(player, Availability!$1:$1, 0))))), ""X"") + COUNTIFS(MAP(FILTER($H$1:$K$1, $H$1:$K$1 &lt;&gt; """"), LAMBDA(player, IFNA"&amp;"(INDEX(Availability!$A:$AAA, MATCH($A3, Availability!$A:$A, 0), MATCH(player, Availability!$1:$1, 0))))), ""U"") + COUNTIFS(MAP(FILTER($H$1:$K$1, $H$1:$K$1 &lt;&gt; """"), LAMBDA(player, IFNA(INDEX(Availability!$A:$AAA, MATCH($A3, Availability!$A:$A, 0), MATCH("&amp;"player, Availability!$1:$1, 0))))), ""R"")"),0.0)</f>
        <v>0</v>
      </c>
      <c r="C3" s="120">
        <f t="shared" ref="C3:C172" si="1">IF(COUNTA($H$1:$L$1) &gt; 0, (COUNTA($H$1:$L$1) - B3) / COUNTA($H$1:$L$1), "")</f>
        <v>1</v>
      </c>
      <c r="D3" s="119" t="str">
        <f>IFERROR(__xludf.DUMMYFUNCTION("SPARKLINE(C3, {""charttype"", ""bar""; ""max"", 1; ""color1"", IF(C3 &lt; 0.5, ""red"", IF(C3 &lt; 0.75, ""orange"", ""green""))})"),"")</f>
        <v/>
      </c>
      <c r="E3" s="121" t="str">
        <f>IFERROR(__xludf.DUMMYFUNCTION("IFERROR(TEXTJOIN("", "", TRUE, FILTER(FILTER($H$1:$K$1, $H$1:$K$1 &lt;&gt; """"), (MAP(FILTER($H$1:$K$1, $H$1:$K$1 &lt;&gt; """"), LAMBDA(player, IFNA(INDEX(Availability!$A:$AAA, MATCH($A3, Availability!$A:$A, 0), MATCH(player, Availability!$1:$1, 0))))) = ""U""))))"),"")</f>
        <v/>
      </c>
      <c r="F3" s="121" t="str">
        <f>IFERROR(__xludf.DUMMYFUNCTION("IFERROR(TEXTJOIN("", "", TRUE, FILTER(FILTER($H$1:$K$1, $H$1:$K$1 &lt;&gt; """"), (MAP(FILTER($H$1:$K$1, $H$1:$K$1 &lt;&gt; """"), LAMBDA(player, IFNA(INDEX(Availability!$A:$AAA, MATCH($A3, Availability!$A:$A, 0), MATCH(player, Availability!$1:$1, 0))))) = ""X""))))"),"")</f>
        <v/>
      </c>
      <c r="G3" s="121" t="str">
        <f>IFERROR(__xludf.DUMMYFUNCTION("IFERROR(TEXTJOIN("", "", TRUE, FILTER(FILTER($H$1:$K$1, $H$1:$K$1 &lt;&gt; """"), (MAP(FILTER($H$1:$K$1, $H$1:$K$1 &lt;&gt; """"), LAMBDA(player, IFNA(INDEX(Availability!$A:$AAA, MATCH($A3, Availability!$A:$A, 0), MATCH(player, Availability!$1:$1, 0))))) = ""R""))))"),"")</f>
        <v/>
      </c>
    </row>
    <row r="4">
      <c r="A4" s="118">
        <f t="shared" ref="A4:A172" si="2">A3+1</f>
        <v>45944</v>
      </c>
      <c r="B4" s="119">
        <f>IFERROR(__xludf.DUMMYFUNCTION("COUNTIFS(MAP(FILTER($H$1:$K$1, $H$1:$K$1 &lt;&gt; """"), LAMBDA(player, IFNA(INDEX(Availability!$A:$AAA, MATCH($A4, Availability!$A:$A, 0), MATCH(player, Availability!$1:$1, 0))))), ""X"") + COUNTIFS(MAP(FILTER($H$1:$K$1, $H$1:$K$1 &lt;&gt; """"), LAMBDA(player, IFNA"&amp;"(INDEX(Availability!$A:$AAA, MATCH($A4, Availability!$A:$A, 0), MATCH(player, Availability!$1:$1, 0))))), ""U"") + COUNTIFS(MAP(FILTER($H$1:$K$1, $H$1:$K$1 &lt;&gt; """"), LAMBDA(player, IFNA(INDEX(Availability!$A:$AAA, MATCH($A4, Availability!$A:$A, 0), MATCH("&amp;"player, Availability!$1:$1, 0))))), ""R"")"),0.0)</f>
        <v>0</v>
      </c>
      <c r="C4" s="120">
        <f t="shared" si="1"/>
        <v>1</v>
      </c>
      <c r="D4" s="119" t="str">
        <f>IFERROR(__xludf.DUMMYFUNCTION("SPARKLINE(C4, {""charttype"", ""bar""; ""max"", 1; ""color1"", IF(C4 &lt; 0.5, ""red"", IF(C4 &lt; 0.75, ""orange"", ""green""))})"),"")</f>
        <v/>
      </c>
      <c r="E4" s="121" t="str">
        <f>IFERROR(__xludf.DUMMYFUNCTION("IFERROR(TEXTJOIN("", "", TRUE, FILTER(FILTER($H$1:$K$1, $H$1:$K$1 &lt;&gt; """"), (MAP(FILTER($H$1:$K$1, $H$1:$K$1 &lt;&gt; """"), LAMBDA(player, IFNA(INDEX(Availability!$A:$AAA, MATCH($A4, Availability!$A:$A, 0), MATCH(player, Availability!$1:$1, 0))))) = ""U""))))"),"")</f>
        <v/>
      </c>
      <c r="F4" s="121" t="str">
        <f>IFERROR(__xludf.DUMMYFUNCTION("IFERROR(TEXTJOIN("", "", TRUE, FILTER(FILTER($H$1:$K$1, $H$1:$K$1 &lt;&gt; """"), (MAP(FILTER($H$1:$K$1, $H$1:$K$1 &lt;&gt; """"), LAMBDA(player, IFNA(INDEX(Availability!$A:$AAA, MATCH($A4, Availability!$A:$A, 0), MATCH(player, Availability!$1:$1, 0))))) = ""X""))))"),"")</f>
        <v/>
      </c>
      <c r="G4" s="121" t="str">
        <f>IFERROR(__xludf.DUMMYFUNCTION("IFERROR(TEXTJOIN("", "", TRUE, FILTER(FILTER($H$1:$K$1, $H$1:$K$1 &lt;&gt; """"), (MAP(FILTER($H$1:$K$1, $H$1:$K$1 &lt;&gt; """"), LAMBDA(player, IFNA(INDEX(Availability!$A:$AAA, MATCH($A4, Availability!$A:$A, 0), MATCH(player, Availability!$1:$1, 0))))) = ""R""))))"),"")</f>
        <v/>
      </c>
    </row>
    <row r="5">
      <c r="A5" s="118">
        <f t="shared" si="2"/>
        <v>45945</v>
      </c>
      <c r="B5" s="119">
        <f>IFERROR(__xludf.DUMMYFUNCTION("COUNTIFS(MAP(FILTER($H$1:$K$1, $H$1:$K$1 &lt;&gt; """"), LAMBDA(player, IFNA(INDEX(Availability!$A:$AAA, MATCH($A5, Availability!$A:$A, 0), MATCH(player, Availability!$1:$1, 0))))), ""X"") + COUNTIFS(MAP(FILTER($H$1:$K$1, $H$1:$K$1 &lt;&gt; """"), LAMBDA(player, IFNA"&amp;"(INDEX(Availability!$A:$AAA, MATCH($A5, Availability!$A:$A, 0), MATCH(player, Availability!$1:$1, 0))))), ""U"") + COUNTIFS(MAP(FILTER($H$1:$K$1, $H$1:$K$1 &lt;&gt; """"), LAMBDA(player, IFNA(INDEX(Availability!$A:$AAA, MATCH($A5, Availability!$A:$A, 0), MATCH("&amp;"player, Availability!$1:$1, 0))))), ""R"")"),0.0)</f>
        <v>0</v>
      </c>
      <c r="C5" s="120">
        <f t="shared" si="1"/>
        <v>1</v>
      </c>
      <c r="D5" s="119" t="str">
        <f>IFERROR(__xludf.DUMMYFUNCTION("SPARKLINE(C5, {""charttype"", ""bar""; ""max"", 1; ""color1"", IF(C5 &lt; 0.5, ""red"", IF(C5 &lt; 0.75, ""orange"", ""green""))})"),"")</f>
        <v/>
      </c>
      <c r="E5" s="121" t="str">
        <f>IFERROR(__xludf.DUMMYFUNCTION("IFERROR(TEXTJOIN("", "", TRUE, FILTER(FILTER($H$1:$K$1, $H$1:$K$1 &lt;&gt; """"), (MAP(FILTER($H$1:$K$1, $H$1:$K$1 &lt;&gt; """"), LAMBDA(player, IFNA(INDEX(Availability!$A:$AAA, MATCH($A5, Availability!$A:$A, 0), MATCH(player, Availability!$1:$1, 0))))) = ""U""))))"),"")</f>
        <v/>
      </c>
      <c r="F5" s="121" t="str">
        <f>IFERROR(__xludf.DUMMYFUNCTION("IFERROR(TEXTJOIN("", "", TRUE, FILTER(FILTER($H$1:$K$1, $H$1:$K$1 &lt;&gt; """"), (MAP(FILTER($H$1:$K$1, $H$1:$K$1 &lt;&gt; """"), LAMBDA(player, IFNA(INDEX(Availability!$A:$AAA, MATCH($A5, Availability!$A:$A, 0), MATCH(player, Availability!$1:$1, 0))))) = ""X""))))"),"")</f>
        <v/>
      </c>
      <c r="G5" s="121" t="str">
        <f>IFERROR(__xludf.DUMMYFUNCTION("IFERROR(TEXTJOIN("", "", TRUE, FILTER(FILTER($H$1:$K$1, $H$1:$K$1 &lt;&gt; """"), (MAP(FILTER($H$1:$K$1, $H$1:$K$1 &lt;&gt; """"), LAMBDA(player, IFNA(INDEX(Availability!$A:$AAA, MATCH($A5, Availability!$A:$A, 0), MATCH(player, Availability!$1:$1, 0))))) = ""R""))))"),"")</f>
        <v/>
      </c>
    </row>
    <row r="6">
      <c r="A6" s="118">
        <f t="shared" si="2"/>
        <v>45946</v>
      </c>
      <c r="B6" s="119">
        <f>IFERROR(__xludf.DUMMYFUNCTION("COUNTIFS(MAP(FILTER($H$1:$K$1, $H$1:$K$1 &lt;&gt; """"), LAMBDA(player, IFNA(INDEX(Availability!$A:$AAA, MATCH($A6, Availability!$A:$A, 0), MATCH(player, Availability!$1:$1, 0))))), ""X"") + COUNTIFS(MAP(FILTER($H$1:$K$1, $H$1:$K$1 &lt;&gt; """"), LAMBDA(player, IFNA"&amp;"(INDEX(Availability!$A:$AAA, MATCH($A6, Availability!$A:$A, 0), MATCH(player, Availability!$1:$1, 0))))), ""U"") + COUNTIFS(MAP(FILTER($H$1:$K$1, $H$1:$K$1 &lt;&gt; """"), LAMBDA(player, IFNA(INDEX(Availability!$A:$AAA, MATCH($A6, Availability!$A:$A, 0), MATCH("&amp;"player, Availability!$1:$1, 0))))), ""R"")"),0.0)</f>
        <v>0</v>
      </c>
      <c r="C6" s="120">
        <f t="shared" si="1"/>
        <v>1</v>
      </c>
      <c r="D6" s="119" t="str">
        <f>IFERROR(__xludf.DUMMYFUNCTION("SPARKLINE(C6, {""charttype"", ""bar""; ""max"", 1; ""color1"", IF(C6 &lt; 0.5, ""red"", IF(C6 &lt; 0.75, ""orange"", ""green""))})"),"")</f>
        <v/>
      </c>
      <c r="E6" s="121" t="str">
        <f>IFERROR(__xludf.DUMMYFUNCTION("IFERROR(TEXTJOIN("", "", TRUE, FILTER(FILTER($H$1:$K$1, $H$1:$K$1 &lt;&gt; """"), (MAP(FILTER($H$1:$K$1, $H$1:$K$1 &lt;&gt; """"), LAMBDA(player, IFNA(INDEX(Availability!$A:$AAA, MATCH($A6, Availability!$A:$A, 0), MATCH(player, Availability!$1:$1, 0))))) = ""U""))))"),"")</f>
        <v/>
      </c>
      <c r="F6" s="121" t="str">
        <f>IFERROR(__xludf.DUMMYFUNCTION("IFERROR(TEXTJOIN("", "", TRUE, FILTER(FILTER($H$1:$K$1, $H$1:$K$1 &lt;&gt; """"), (MAP(FILTER($H$1:$K$1, $H$1:$K$1 &lt;&gt; """"), LAMBDA(player, IFNA(INDEX(Availability!$A:$AAA, MATCH($A6, Availability!$A:$A, 0), MATCH(player, Availability!$1:$1, 0))))) = ""X""))))"),"")</f>
        <v/>
      </c>
      <c r="G6" s="121" t="str">
        <f>IFERROR(__xludf.DUMMYFUNCTION("IFERROR(TEXTJOIN("", "", TRUE, FILTER(FILTER($H$1:$K$1, $H$1:$K$1 &lt;&gt; """"), (MAP(FILTER($H$1:$K$1, $H$1:$K$1 &lt;&gt; """"), LAMBDA(player, IFNA(INDEX(Availability!$A:$AAA, MATCH($A6, Availability!$A:$A, 0), MATCH(player, Availability!$1:$1, 0))))) = ""R""))))"),"")</f>
        <v/>
      </c>
    </row>
    <row r="7">
      <c r="A7" s="118">
        <f t="shared" si="2"/>
        <v>45947</v>
      </c>
      <c r="B7" s="119">
        <f>IFERROR(__xludf.DUMMYFUNCTION("COUNTIFS(MAP(FILTER($H$1:$K$1, $H$1:$K$1 &lt;&gt; """"), LAMBDA(player, IFNA(INDEX(Availability!$A:$AAA, MATCH($A7, Availability!$A:$A, 0), MATCH(player, Availability!$1:$1, 0))))), ""X"") + COUNTIFS(MAP(FILTER($H$1:$K$1, $H$1:$K$1 &lt;&gt; """"), LAMBDA(player, IFNA"&amp;"(INDEX(Availability!$A:$AAA, MATCH($A7, Availability!$A:$A, 0), MATCH(player, Availability!$1:$1, 0))))), ""U"") + COUNTIFS(MAP(FILTER($H$1:$K$1, $H$1:$K$1 &lt;&gt; """"), LAMBDA(player, IFNA(INDEX(Availability!$A:$AAA, MATCH($A7, Availability!$A:$A, 0), MATCH("&amp;"player, Availability!$1:$1, 0))))), ""R"")"),0.0)</f>
        <v>0</v>
      </c>
      <c r="C7" s="120">
        <f t="shared" si="1"/>
        <v>1</v>
      </c>
      <c r="D7" s="119" t="str">
        <f>IFERROR(__xludf.DUMMYFUNCTION("SPARKLINE(C7, {""charttype"", ""bar""; ""max"", 1; ""color1"", IF(C7 &lt; 0.5, ""red"", IF(C7 &lt; 0.75, ""orange"", ""green""))})"),"")</f>
        <v/>
      </c>
      <c r="E7" s="121" t="str">
        <f>IFERROR(__xludf.DUMMYFUNCTION("IFERROR(TEXTJOIN("", "", TRUE, FILTER(FILTER($H$1:$K$1, $H$1:$K$1 &lt;&gt; """"), (MAP(FILTER($H$1:$K$1, $H$1:$K$1 &lt;&gt; """"), LAMBDA(player, IFNA(INDEX(Availability!$A:$AAA, MATCH($A7, Availability!$A:$A, 0), MATCH(player, Availability!$1:$1, 0))))) = ""U""))))"),"")</f>
        <v/>
      </c>
      <c r="F7" s="121" t="str">
        <f>IFERROR(__xludf.DUMMYFUNCTION("IFERROR(TEXTJOIN("", "", TRUE, FILTER(FILTER($H$1:$K$1, $H$1:$K$1 &lt;&gt; """"), (MAP(FILTER($H$1:$K$1, $H$1:$K$1 &lt;&gt; """"), LAMBDA(player, IFNA(INDEX(Availability!$A:$AAA, MATCH($A7, Availability!$A:$A, 0), MATCH(player, Availability!$1:$1, 0))))) = ""X""))))"),"")</f>
        <v/>
      </c>
      <c r="G7" s="121" t="str">
        <f>IFERROR(__xludf.DUMMYFUNCTION("IFERROR(TEXTJOIN("", "", TRUE, FILTER(FILTER($H$1:$K$1, $H$1:$K$1 &lt;&gt; """"), (MAP(FILTER($H$1:$K$1, $H$1:$K$1 &lt;&gt; """"), LAMBDA(player, IFNA(INDEX(Availability!$A:$AAA, MATCH($A7, Availability!$A:$A, 0), MATCH(player, Availability!$1:$1, 0))))) = ""R""))))"),"")</f>
        <v/>
      </c>
    </row>
    <row r="8">
      <c r="A8" s="118">
        <f t="shared" si="2"/>
        <v>45948</v>
      </c>
      <c r="B8" s="119">
        <f>IFERROR(__xludf.DUMMYFUNCTION("COUNTIFS(MAP(FILTER($H$1:$K$1, $H$1:$K$1 &lt;&gt; """"), LAMBDA(player, IFNA(INDEX(Availability!$A:$AAA, MATCH($A8, Availability!$A:$A, 0), MATCH(player, Availability!$1:$1, 0))))), ""X"") + COUNTIFS(MAP(FILTER($H$1:$K$1, $H$1:$K$1 &lt;&gt; """"), LAMBDA(player, IFNA"&amp;"(INDEX(Availability!$A:$AAA, MATCH($A8, Availability!$A:$A, 0), MATCH(player, Availability!$1:$1, 0))))), ""U"") + COUNTIFS(MAP(FILTER($H$1:$K$1, $H$1:$K$1 &lt;&gt; """"), LAMBDA(player, IFNA(INDEX(Availability!$A:$AAA, MATCH($A8, Availability!$A:$A, 0), MATCH("&amp;"player, Availability!$1:$1, 0))))), ""R"")"),0.0)</f>
        <v>0</v>
      </c>
      <c r="C8" s="120">
        <f t="shared" si="1"/>
        <v>1</v>
      </c>
      <c r="D8" s="119" t="str">
        <f>IFERROR(__xludf.DUMMYFUNCTION("SPARKLINE(C8, {""charttype"", ""bar""; ""max"", 1; ""color1"", IF(C8 &lt; 0.5, ""red"", IF(C8 &lt; 0.75, ""orange"", ""green""))})"),"")</f>
        <v/>
      </c>
      <c r="E8" s="121" t="str">
        <f>IFERROR(__xludf.DUMMYFUNCTION("IFERROR(TEXTJOIN("", "", TRUE, FILTER(FILTER($H$1:$K$1, $H$1:$K$1 &lt;&gt; """"), (MAP(FILTER($H$1:$K$1, $H$1:$K$1 &lt;&gt; """"), LAMBDA(player, IFNA(INDEX(Availability!$A:$AAA, MATCH($A8, Availability!$A:$A, 0), MATCH(player, Availability!$1:$1, 0))))) = ""U""))))"),"")</f>
        <v/>
      </c>
      <c r="F8" s="121" t="str">
        <f>IFERROR(__xludf.DUMMYFUNCTION("IFERROR(TEXTJOIN("", "", TRUE, FILTER(FILTER($H$1:$K$1, $H$1:$K$1 &lt;&gt; """"), (MAP(FILTER($H$1:$K$1, $H$1:$K$1 &lt;&gt; """"), LAMBDA(player, IFNA(INDEX(Availability!$A:$AAA, MATCH($A8, Availability!$A:$A, 0), MATCH(player, Availability!$1:$1, 0))))) = ""X""))))"),"")</f>
        <v/>
      </c>
      <c r="G8" s="121" t="str">
        <f>IFERROR(__xludf.DUMMYFUNCTION("IFERROR(TEXTJOIN("", "", TRUE, FILTER(FILTER($H$1:$K$1, $H$1:$K$1 &lt;&gt; """"), (MAP(FILTER($H$1:$K$1, $H$1:$K$1 &lt;&gt; """"), LAMBDA(player, IFNA(INDEX(Availability!$A:$AAA, MATCH($A8, Availability!$A:$A, 0), MATCH(player, Availability!$1:$1, 0))))) = ""R""))))"),"")</f>
        <v/>
      </c>
    </row>
    <row r="9">
      <c r="A9" s="118">
        <f t="shared" si="2"/>
        <v>45949</v>
      </c>
      <c r="B9" s="119">
        <f>IFERROR(__xludf.DUMMYFUNCTION("COUNTIFS(MAP(FILTER($H$1:$K$1, $H$1:$K$1 &lt;&gt; """"), LAMBDA(player, IFNA(INDEX(Availability!$A:$AAA, MATCH($A9, Availability!$A:$A, 0), MATCH(player, Availability!$1:$1, 0))))), ""X"") + COUNTIFS(MAP(FILTER($H$1:$K$1, $H$1:$K$1 &lt;&gt; """"), LAMBDA(player, IFNA"&amp;"(INDEX(Availability!$A:$AAA, MATCH($A9, Availability!$A:$A, 0), MATCH(player, Availability!$1:$1, 0))))), ""U"") + COUNTIFS(MAP(FILTER($H$1:$K$1, $H$1:$K$1 &lt;&gt; """"), LAMBDA(player, IFNA(INDEX(Availability!$A:$AAA, MATCH($A9, Availability!$A:$A, 0), MATCH("&amp;"player, Availability!$1:$1, 0))))), ""R"")"),0.0)</f>
        <v>0</v>
      </c>
      <c r="C9" s="120">
        <f t="shared" si="1"/>
        <v>1</v>
      </c>
      <c r="D9" s="119" t="str">
        <f>IFERROR(__xludf.DUMMYFUNCTION("SPARKLINE(C9, {""charttype"", ""bar""; ""max"", 1; ""color1"", IF(C9 &lt; 0.5, ""red"", IF(C9 &lt; 0.75, ""orange"", ""green""))})"),"")</f>
        <v/>
      </c>
      <c r="E9" s="121" t="str">
        <f>IFERROR(__xludf.DUMMYFUNCTION("IFERROR(TEXTJOIN("", "", TRUE, FILTER(FILTER($H$1:$K$1, $H$1:$K$1 &lt;&gt; """"), (MAP(FILTER($H$1:$K$1, $H$1:$K$1 &lt;&gt; """"), LAMBDA(player, IFNA(INDEX(Availability!$A:$AAA, MATCH($A9, Availability!$A:$A, 0), MATCH(player, Availability!$1:$1, 0))))) = ""U""))))"),"")</f>
        <v/>
      </c>
      <c r="F9" s="121" t="str">
        <f>IFERROR(__xludf.DUMMYFUNCTION("IFERROR(TEXTJOIN("", "", TRUE, FILTER(FILTER($H$1:$K$1, $H$1:$K$1 &lt;&gt; """"), (MAP(FILTER($H$1:$K$1, $H$1:$K$1 &lt;&gt; """"), LAMBDA(player, IFNA(INDEX(Availability!$A:$AAA, MATCH($A9, Availability!$A:$A, 0), MATCH(player, Availability!$1:$1, 0))))) = ""X""))))"),"")</f>
        <v/>
      </c>
      <c r="G9" s="121" t="str">
        <f>IFERROR(__xludf.DUMMYFUNCTION("IFERROR(TEXTJOIN("", "", TRUE, FILTER(FILTER($H$1:$K$1, $H$1:$K$1 &lt;&gt; """"), (MAP(FILTER($H$1:$K$1, $H$1:$K$1 &lt;&gt; """"), LAMBDA(player, IFNA(INDEX(Availability!$A:$AAA, MATCH($A9, Availability!$A:$A, 0), MATCH(player, Availability!$1:$1, 0))))) = ""R""))))"),"")</f>
        <v/>
      </c>
    </row>
    <row r="10">
      <c r="A10" s="118">
        <f t="shared" si="2"/>
        <v>45950</v>
      </c>
      <c r="B10" s="119">
        <f>IFERROR(__xludf.DUMMYFUNCTION("COUNTIFS(MAP(FILTER($H$1:$K$1, $H$1:$K$1 &lt;&gt; """"), LAMBDA(player, IFNA(INDEX(Availability!$A:$AAA, MATCH($A10, Availability!$A:$A, 0), MATCH(player, Availability!$1:$1, 0))))), ""X"") + COUNTIFS(MAP(FILTER($H$1:$K$1, $H$1:$K$1 &lt;&gt; """"), LAMBDA(player, IFN"&amp;"A(INDEX(Availability!$A:$AAA, MATCH($A10, Availability!$A:$A, 0), MATCH(player, Availability!$1:$1, 0))))), ""U"") + COUNTIFS(MAP(FILTER($H$1:$K$1, $H$1:$K$1 &lt;&gt; """"), LAMBDA(player, IFNA(INDEX(Availability!$A:$AAA, MATCH($A10, Availability!$A:$A, 0), MAT"&amp;"CH(player, Availability!$1:$1, 0))))), ""R"")"),0.0)</f>
        <v>0</v>
      </c>
      <c r="C10" s="120">
        <f t="shared" si="1"/>
        <v>1</v>
      </c>
      <c r="D10" s="119" t="str">
        <f>IFERROR(__xludf.DUMMYFUNCTION("SPARKLINE(C10, {""charttype"", ""bar""; ""max"", 1; ""color1"", IF(C10 &lt; 0.5, ""red"", IF(C10 &lt; 0.75, ""orange"", ""green""))})"),"")</f>
        <v/>
      </c>
      <c r="E10" s="121" t="str">
        <f>IFERROR(__xludf.DUMMYFUNCTION("IFERROR(TEXTJOIN("", "", TRUE, FILTER(FILTER($H$1:$K$1, $H$1:$K$1 &lt;&gt; """"), (MAP(FILTER($H$1:$K$1, $H$1:$K$1 &lt;&gt; """"), LAMBDA(player, IFNA(INDEX(Availability!$A:$AAA, MATCH($A10, Availability!$A:$A, 0), MATCH(player, Availability!$1:$1, 0))))) = ""U""))))"),"")</f>
        <v/>
      </c>
      <c r="F10" s="121" t="str">
        <f>IFERROR(__xludf.DUMMYFUNCTION("IFERROR(TEXTJOIN("", "", TRUE, FILTER(FILTER($H$1:$K$1, $H$1:$K$1 &lt;&gt; """"), (MAP(FILTER($H$1:$K$1, $H$1:$K$1 &lt;&gt; """"), LAMBDA(player, IFNA(INDEX(Availability!$A:$AAA, MATCH($A10, Availability!$A:$A, 0), MATCH(player, Availability!$1:$1, 0))))) = ""X""))))"),"")</f>
        <v/>
      </c>
      <c r="G10" s="121" t="str">
        <f>IFERROR(__xludf.DUMMYFUNCTION("IFERROR(TEXTJOIN("", "", TRUE, FILTER(FILTER($H$1:$K$1, $H$1:$K$1 &lt;&gt; """"), (MAP(FILTER($H$1:$K$1, $H$1:$K$1 &lt;&gt; """"), LAMBDA(player, IFNA(INDEX(Availability!$A:$AAA, MATCH($A10, Availability!$A:$A, 0), MATCH(player, Availability!$1:$1, 0))))) = ""R""))))"),"")</f>
        <v/>
      </c>
    </row>
    <row r="11">
      <c r="A11" s="118">
        <f t="shared" si="2"/>
        <v>45951</v>
      </c>
      <c r="B11" s="119">
        <f>IFERROR(__xludf.DUMMYFUNCTION("COUNTIFS(MAP(FILTER($H$1:$K$1, $H$1:$K$1 &lt;&gt; """"), LAMBDA(player, IFNA(INDEX(Availability!$A:$AAA, MATCH($A11, Availability!$A:$A, 0), MATCH(player, Availability!$1:$1, 0))))), ""X"") + COUNTIFS(MAP(FILTER($H$1:$K$1, $H$1:$K$1 &lt;&gt; """"), LAMBDA(player, IFN"&amp;"A(INDEX(Availability!$A:$AAA, MATCH($A11, Availability!$A:$A, 0), MATCH(player, Availability!$1:$1, 0))))), ""U"") + COUNTIFS(MAP(FILTER($H$1:$K$1, $H$1:$K$1 &lt;&gt; """"), LAMBDA(player, IFNA(INDEX(Availability!$A:$AAA, MATCH($A11, Availability!$A:$A, 0), MAT"&amp;"CH(player, Availability!$1:$1, 0))))), ""R"")"),0.0)</f>
        <v>0</v>
      </c>
      <c r="C11" s="120">
        <f t="shared" si="1"/>
        <v>1</v>
      </c>
      <c r="D11" s="119" t="str">
        <f>IFERROR(__xludf.DUMMYFUNCTION("SPARKLINE(C11, {""charttype"", ""bar""; ""max"", 1; ""color1"", IF(C11 &lt; 0.5, ""red"", IF(C11 &lt; 0.75, ""orange"", ""green""))})"),"")</f>
        <v/>
      </c>
      <c r="E11" s="121" t="str">
        <f>IFERROR(__xludf.DUMMYFUNCTION("IFERROR(TEXTJOIN("", "", TRUE, FILTER(FILTER($H$1:$K$1, $H$1:$K$1 &lt;&gt; """"), (MAP(FILTER($H$1:$K$1, $H$1:$K$1 &lt;&gt; """"), LAMBDA(player, IFNA(INDEX(Availability!$A:$AAA, MATCH($A11, Availability!$A:$A, 0), MATCH(player, Availability!$1:$1, 0))))) = ""U""))))"),"")</f>
        <v/>
      </c>
      <c r="F11" s="121" t="str">
        <f>IFERROR(__xludf.DUMMYFUNCTION("IFERROR(TEXTJOIN("", "", TRUE, FILTER(FILTER($H$1:$K$1, $H$1:$K$1 &lt;&gt; """"), (MAP(FILTER($H$1:$K$1, $H$1:$K$1 &lt;&gt; """"), LAMBDA(player, IFNA(INDEX(Availability!$A:$AAA, MATCH($A11, Availability!$A:$A, 0), MATCH(player, Availability!$1:$1, 0))))) = ""X""))))"),"")</f>
        <v/>
      </c>
      <c r="G11" s="121" t="str">
        <f>IFERROR(__xludf.DUMMYFUNCTION("IFERROR(TEXTJOIN("", "", TRUE, FILTER(FILTER($H$1:$K$1, $H$1:$K$1 &lt;&gt; """"), (MAP(FILTER($H$1:$K$1, $H$1:$K$1 &lt;&gt; """"), LAMBDA(player, IFNA(INDEX(Availability!$A:$AAA, MATCH($A11, Availability!$A:$A, 0), MATCH(player, Availability!$1:$1, 0))))) = ""R""))))"),"")</f>
        <v/>
      </c>
    </row>
    <row r="12">
      <c r="A12" s="118">
        <f t="shared" si="2"/>
        <v>45952</v>
      </c>
      <c r="B12" s="119">
        <f>IFERROR(__xludf.DUMMYFUNCTION("COUNTIFS(MAP(FILTER($H$1:$K$1, $H$1:$K$1 &lt;&gt; """"), LAMBDA(player, IFNA(INDEX(Availability!$A:$AAA, MATCH($A12, Availability!$A:$A, 0), MATCH(player, Availability!$1:$1, 0))))), ""X"") + COUNTIFS(MAP(FILTER($H$1:$K$1, $H$1:$K$1 &lt;&gt; """"), LAMBDA(player, IFN"&amp;"A(INDEX(Availability!$A:$AAA, MATCH($A12, Availability!$A:$A, 0), MATCH(player, Availability!$1:$1, 0))))), ""U"") + COUNTIFS(MAP(FILTER($H$1:$K$1, $H$1:$K$1 &lt;&gt; """"), LAMBDA(player, IFNA(INDEX(Availability!$A:$AAA, MATCH($A12, Availability!$A:$A, 0), MAT"&amp;"CH(player, Availability!$1:$1, 0))))), ""R"")"),0.0)</f>
        <v>0</v>
      </c>
      <c r="C12" s="120">
        <f t="shared" si="1"/>
        <v>1</v>
      </c>
      <c r="D12" s="119" t="str">
        <f>IFERROR(__xludf.DUMMYFUNCTION("SPARKLINE(C12, {""charttype"", ""bar""; ""max"", 1; ""color1"", IF(C12 &lt; 0.5, ""red"", IF(C12 &lt; 0.75, ""orange"", ""green""))})"),"")</f>
        <v/>
      </c>
      <c r="E12" s="121" t="str">
        <f>IFERROR(__xludf.DUMMYFUNCTION("IFERROR(TEXTJOIN("", "", TRUE, FILTER(FILTER($H$1:$K$1, $H$1:$K$1 &lt;&gt; """"), (MAP(FILTER($H$1:$K$1, $H$1:$K$1 &lt;&gt; """"), LAMBDA(player, IFNA(INDEX(Availability!$A:$AAA, MATCH($A12, Availability!$A:$A, 0), MATCH(player, Availability!$1:$1, 0))))) = ""U""))))"),"")</f>
        <v/>
      </c>
      <c r="F12" s="121" t="str">
        <f>IFERROR(__xludf.DUMMYFUNCTION("IFERROR(TEXTJOIN("", "", TRUE, FILTER(FILTER($H$1:$K$1, $H$1:$K$1 &lt;&gt; """"), (MAP(FILTER($H$1:$K$1, $H$1:$K$1 &lt;&gt; """"), LAMBDA(player, IFNA(INDEX(Availability!$A:$AAA, MATCH($A12, Availability!$A:$A, 0), MATCH(player, Availability!$1:$1, 0))))) = ""X""))))"),"")</f>
        <v/>
      </c>
      <c r="G12" s="121" t="str">
        <f>IFERROR(__xludf.DUMMYFUNCTION("IFERROR(TEXTJOIN("", "", TRUE, FILTER(FILTER($H$1:$K$1, $H$1:$K$1 &lt;&gt; """"), (MAP(FILTER($H$1:$K$1, $H$1:$K$1 &lt;&gt; """"), LAMBDA(player, IFNA(INDEX(Availability!$A:$AAA, MATCH($A12, Availability!$A:$A, 0), MATCH(player, Availability!$1:$1, 0))))) = ""R""))))"),"")</f>
        <v/>
      </c>
    </row>
    <row r="13">
      <c r="A13" s="118">
        <f t="shared" si="2"/>
        <v>45953</v>
      </c>
      <c r="B13" s="119">
        <f>IFERROR(__xludf.DUMMYFUNCTION("COUNTIFS(MAP(FILTER($H$1:$K$1, $H$1:$K$1 &lt;&gt; """"), LAMBDA(player, IFNA(INDEX(Availability!$A:$AAA, MATCH($A13, Availability!$A:$A, 0), MATCH(player, Availability!$1:$1, 0))))), ""X"") + COUNTIFS(MAP(FILTER($H$1:$K$1, $H$1:$K$1 &lt;&gt; """"), LAMBDA(player, IFN"&amp;"A(INDEX(Availability!$A:$AAA, MATCH($A13, Availability!$A:$A, 0), MATCH(player, Availability!$1:$1, 0))))), ""U"") + COUNTIFS(MAP(FILTER($H$1:$K$1, $H$1:$K$1 &lt;&gt; """"), LAMBDA(player, IFNA(INDEX(Availability!$A:$AAA, MATCH($A13, Availability!$A:$A, 0), MAT"&amp;"CH(player, Availability!$1:$1, 0))))), ""R"")"),0.0)</f>
        <v>0</v>
      </c>
      <c r="C13" s="120">
        <f t="shared" si="1"/>
        <v>1</v>
      </c>
      <c r="D13" s="119" t="str">
        <f>IFERROR(__xludf.DUMMYFUNCTION("SPARKLINE(C13, {""charttype"", ""bar""; ""max"", 1; ""color1"", IF(C13 &lt; 0.5, ""red"", IF(C13 &lt; 0.75, ""orange"", ""green""))})"),"")</f>
        <v/>
      </c>
      <c r="E13" s="121" t="str">
        <f>IFERROR(__xludf.DUMMYFUNCTION("IFERROR(TEXTJOIN("", "", TRUE, FILTER(FILTER($H$1:$K$1, $H$1:$K$1 &lt;&gt; """"), (MAP(FILTER($H$1:$K$1, $H$1:$K$1 &lt;&gt; """"), LAMBDA(player, IFNA(INDEX(Availability!$A:$AAA, MATCH($A13, Availability!$A:$A, 0), MATCH(player, Availability!$1:$1, 0))))) = ""U""))))"),"")</f>
        <v/>
      </c>
      <c r="F13" s="121" t="str">
        <f>IFERROR(__xludf.DUMMYFUNCTION("IFERROR(TEXTJOIN("", "", TRUE, FILTER(FILTER($H$1:$K$1, $H$1:$K$1 &lt;&gt; """"), (MAP(FILTER($H$1:$K$1, $H$1:$K$1 &lt;&gt; """"), LAMBDA(player, IFNA(INDEX(Availability!$A:$AAA, MATCH($A13, Availability!$A:$A, 0), MATCH(player, Availability!$1:$1, 0))))) = ""X""))))"),"")</f>
        <v/>
      </c>
      <c r="G13" s="121" t="str">
        <f>IFERROR(__xludf.DUMMYFUNCTION("IFERROR(TEXTJOIN("", "", TRUE, FILTER(FILTER($H$1:$K$1, $H$1:$K$1 &lt;&gt; """"), (MAP(FILTER($H$1:$K$1, $H$1:$K$1 &lt;&gt; """"), LAMBDA(player, IFNA(INDEX(Availability!$A:$AAA, MATCH($A13, Availability!$A:$A, 0), MATCH(player, Availability!$1:$1, 0))))) = ""R""))))"),"")</f>
        <v/>
      </c>
    </row>
    <row r="14">
      <c r="A14" s="118">
        <f t="shared" si="2"/>
        <v>45954</v>
      </c>
      <c r="B14" s="119">
        <f>IFERROR(__xludf.DUMMYFUNCTION("COUNTIFS(MAP(FILTER($H$1:$K$1, $H$1:$K$1 &lt;&gt; """"), LAMBDA(player, IFNA(INDEX(Availability!$A:$AAA, MATCH($A14, Availability!$A:$A, 0), MATCH(player, Availability!$1:$1, 0))))), ""X"") + COUNTIFS(MAP(FILTER($H$1:$K$1, $H$1:$K$1 &lt;&gt; """"), LAMBDA(player, IFN"&amp;"A(INDEX(Availability!$A:$AAA, MATCH($A14, Availability!$A:$A, 0), MATCH(player, Availability!$1:$1, 0))))), ""U"") + COUNTIFS(MAP(FILTER($H$1:$K$1, $H$1:$K$1 &lt;&gt; """"), LAMBDA(player, IFNA(INDEX(Availability!$A:$AAA, MATCH($A14, Availability!$A:$A, 0), MAT"&amp;"CH(player, Availability!$1:$1, 0))))), ""R"")"),1.0)</f>
        <v>1</v>
      </c>
      <c r="C14" s="120">
        <f t="shared" si="1"/>
        <v>0.75</v>
      </c>
      <c r="D14" s="119" t="str">
        <f>IFERROR(__xludf.DUMMYFUNCTION("SPARKLINE(C14, {""charttype"", ""bar""; ""max"", 1; ""color1"", IF(C14 &lt; 0.5, ""red"", IF(C14 &lt; 0.75, ""orange"", ""green""))})"),"")</f>
        <v/>
      </c>
      <c r="E14" s="121" t="str">
        <f>IFERROR(__xludf.DUMMYFUNCTION("IFERROR(TEXTJOIN("", "", TRUE, FILTER(FILTER($H$1:$K$1, $H$1:$K$1 &lt;&gt; """"), (MAP(FILTER($H$1:$K$1, $H$1:$K$1 &lt;&gt; """"), LAMBDA(player, IFNA(INDEX(Availability!$A:$AAA, MATCH($A14, Availability!$A:$A, 0), MATCH(player, Availability!$1:$1, 0))))) = ""U""))))"),"Grace Webster")</f>
        <v>Grace Webster</v>
      </c>
      <c r="F14" s="121" t="str">
        <f>IFERROR(__xludf.DUMMYFUNCTION("IFERROR(TEXTJOIN("", "", TRUE, FILTER(FILTER($H$1:$K$1, $H$1:$K$1 &lt;&gt; """"), (MAP(FILTER($H$1:$K$1, $H$1:$K$1 &lt;&gt; """"), LAMBDA(player, IFNA(INDEX(Availability!$A:$AAA, MATCH($A14, Availability!$A:$A, 0), MATCH(player, Availability!$1:$1, 0))))) = ""X""))))"),"")</f>
        <v/>
      </c>
      <c r="G14" s="121" t="str">
        <f>IFERROR(__xludf.DUMMYFUNCTION("IFERROR(TEXTJOIN("", "", TRUE, FILTER(FILTER($H$1:$K$1, $H$1:$K$1 &lt;&gt; """"), (MAP(FILTER($H$1:$K$1, $H$1:$K$1 &lt;&gt; """"), LAMBDA(player, IFNA(INDEX(Availability!$A:$AAA, MATCH($A14, Availability!$A:$A, 0), MATCH(player, Availability!$1:$1, 0))))) = ""R""))))"),"")</f>
        <v/>
      </c>
    </row>
    <row r="15">
      <c r="A15" s="118">
        <f t="shared" si="2"/>
        <v>45955</v>
      </c>
      <c r="B15" s="119">
        <f>IFERROR(__xludf.DUMMYFUNCTION("COUNTIFS(MAP(FILTER($H$1:$K$1, $H$1:$K$1 &lt;&gt; """"), LAMBDA(player, IFNA(INDEX(Availability!$A:$AAA, MATCH($A15, Availability!$A:$A, 0), MATCH(player, Availability!$1:$1, 0))))), ""X"") + COUNTIFS(MAP(FILTER($H$1:$K$1, $H$1:$K$1 &lt;&gt; """"), LAMBDA(player, IFN"&amp;"A(INDEX(Availability!$A:$AAA, MATCH($A15, Availability!$A:$A, 0), MATCH(player, Availability!$1:$1, 0))))), ""U"") + COUNTIFS(MAP(FILTER($H$1:$K$1, $H$1:$K$1 &lt;&gt; """"), LAMBDA(player, IFNA(INDEX(Availability!$A:$AAA, MATCH($A15, Availability!$A:$A, 0), MAT"&amp;"CH(player, Availability!$1:$1, 0))))), ""R"")"),1.0)</f>
        <v>1</v>
      </c>
      <c r="C15" s="120">
        <f t="shared" si="1"/>
        <v>0.75</v>
      </c>
      <c r="D15" s="119" t="str">
        <f>IFERROR(__xludf.DUMMYFUNCTION("SPARKLINE(C15, {""charttype"", ""bar""; ""max"", 1; ""color1"", IF(C15 &lt; 0.5, ""red"", IF(C15 &lt; 0.75, ""orange"", ""green""))})"),"")</f>
        <v/>
      </c>
      <c r="E15" s="121" t="str">
        <f>IFERROR(__xludf.DUMMYFUNCTION("IFERROR(TEXTJOIN("", "", TRUE, FILTER(FILTER($H$1:$K$1, $H$1:$K$1 &lt;&gt; """"), (MAP(FILTER($H$1:$K$1, $H$1:$K$1 &lt;&gt; """"), LAMBDA(player, IFNA(INDEX(Availability!$A:$AAA, MATCH($A15, Availability!$A:$A, 0), MATCH(player, Availability!$1:$1, 0))))) = ""U""))))"),"Grace Webster")</f>
        <v>Grace Webster</v>
      </c>
      <c r="F15" s="121" t="str">
        <f>IFERROR(__xludf.DUMMYFUNCTION("IFERROR(TEXTJOIN("", "", TRUE, FILTER(FILTER($H$1:$K$1, $H$1:$K$1 &lt;&gt; """"), (MAP(FILTER($H$1:$K$1, $H$1:$K$1 &lt;&gt; """"), LAMBDA(player, IFNA(INDEX(Availability!$A:$AAA, MATCH($A15, Availability!$A:$A, 0), MATCH(player, Availability!$1:$1, 0))))) = ""X""))))"),"")</f>
        <v/>
      </c>
      <c r="G15" s="121" t="str">
        <f>IFERROR(__xludf.DUMMYFUNCTION("IFERROR(TEXTJOIN("", "", TRUE, FILTER(FILTER($H$1:$K$1, $H$1:$K$1 &lt;&gt; """"), (MAP(FILTER($H$1:$K$1, $H$1:$K$1 &lt;&gt; """"), LAMBDA(player, IFNA(INDEX(Availability!$A:$AAA, MATCH($A15, Availability!$A:$A, 0), MATCH(player, Availability!$1:$1, 0))))) = ""R""))))"),"")</f>
        <v/>
      </c>
    </row>
    <row r="16">
      <c r="A16" s="118">
        <f t="shared" si="2"/>
        <v>45956</v>
      </c>
      <c r="B16" s="119">
        <f>IFERROR(__xludf.DUMMYFUNCTION("COUNTIFS(MAP(FILTER($H$1:$K$1, $H$1:$K$1 &lt;&gt; """"), LAMBDA(player, IFNA(INDEX(Availability!$A:$AAA, MATCH($A16, Availability!$A:$A, 0), MATCH(player, Availability!$1:$1, 0))))), ""X"") + COUNTIFS(MAP(FILTER($H$1:$K$1, $H$1:$K$1 &lt;&gt; """"), LAMBDA(player, IFN"&amp;"A(INDEX(Availability!$A:$AAA, MATCH($A16, Availability!$A:$A, 0), MATCH(player, Availability!$1:$1, 0))))), ""U"") + COUNTIFS(MAP(FILTER($H$1:$K$1, $H$1:$K$1 &lt;&gt; """"), LAMBDA(player, IFNA(INDEX(Availability!$A:$AAA, MATCH($A16, Availability!$A:$A, 0), MAT"&amp;"CH(player, Availability!$1:$1, 0))))), ""R"")"),1.0)</f>
        <v>1</v>
      </c>
      <c r="C16" s="120">
        <f t="shared" si="1"/>
        <v>0.75</v>
      </c>
      <c r="D16" s="119" t="str">
        <f>IFERROR(__xludf.DUMMYFUNCTION("SPARKLINE(C16, {""charttype"", ""bar""; ""max"", 1; ""color1"", IF(C16 &lt; 0.5, ""red"", IF(C16 &lt; 0.75, ""orange"", ""green""))})"),"")</f>
        <v/>
      </c>
      <c r="E16" s="121" t="str">
        <f>IFERROR(__xludf.DUMMYFUNCTION("IFERROR(TEXTJOIN("", "", TRUE, FILTER(FILTER($H$1:$K$1, $H$1:$K$1 &lt;&gt; """"), (MAP(FILTER($H$1:$K$1, $H$1:$K$1 &lt;&gt; """"), LAMBDA(player, IFNA(INDEX(Availability!$A:$AAA, MATCH($A16, Availability!$A:$A, 0), MATCH(player, Availability!$1:$1, 0))))) = ""U""))))"),"Grace Webster")</f>
        <v>Grace Webster</v>
      </c>
      <c r="F16" s="121" t="str">
        <f>IFERROR(__xludf.DUMMYFUNCTION("IFERROR(TEXTJOIN("", "", TRUE, FILTER(FILTER($H$1:$K$1, $H$1:$K$1 &lt;&gt; """"), (MAP(FILTER($H$1:$K$1, $H$1:$K$1 &lt;&gt; """"), LAMBDA(player, IFNA(INDEX(Availability!$A:$AAA, MATCH($A16, Availability!$A:$A, 0), MATCH(player, Availability!$1:$1, 0))))) = ""X""))))"),"")</f>
        <v/>
      </c>
      <c r="G16" s="121" t="str">
        <f>IFERROR(__xludf.DUMMYFUNCTION("IFERROR(TEXTJOIN("", "", TRUE, FILTER(FILTER($H$1:$K$1, $H$1:$K$1 &lt;&gt; """"), (MAP(FILTER($H$1:$K$1, $H$1:$K$1 &lt;&gt; """"), LAMBDA(player, IFNA(INDEX(Availability!$A:$AAA, MATCH($A16, Availability!$A:$A, 0), MATCH(player, Availability!$1:$1, 0))))) = ""R""))))"),"")</f>
        <v/>
      </c>
    </row>
    <row r="17">
      <c r="A17" s="118">
        <f t="shared" si="2"/>
        <v>45957</v>
      </c>
      <c r="B17" s="119">
        <f>IFERROR(__xludf.DUMMYFUNCTION("COUNTIFS(MAP(FILTER($H$1:$K$1, $H$1:$K$1 &lt;&gt; """"), LAMBDA(player, IFNA(INDEX(Availability!$A:$AAA, MATCH($A17, Availability!$A:$A, 0), MATCH(player, Availability!$1:$1, 0))))), ""X"") + COUNTIFS(MAP(FILTER($H$1:$K$1, $H$1:$K$1 &lt;&gt; """"), LAMBDA(player, IFN"&amp;"A(INDEX(Availability!$A:$AAA, MATCH($A17, Availability!$A:$A, 0), MATCH(player, Availability!$1:$1, 0))))), ""U"") + COUNTIFS(MAP(FILTER($H$1:$K$1, $H$1:$K$1 &lt;&gt; """"), LAMBDA(player, IFNA(INDEX(Availability!$A:$AAA, MATCH($A17, Availability!$A:$A, 0), MAT"&amp;"CH(player, Availability!$1:$1, 0))))), ""R"")"),1.0)</f>
        <v>1</v>
      </c>
      <c r="C17" s="120">
        <f t="shared" si="1"/>
        <v>0.75</v>
      </c>
      <c r="D17" s="119" t="str">
        <f>IFERROR(__xludf.DUMMYFUNCTION("SPARKLINE(C17, {""charttype"", ""bar""; ""max"", 1; ""color1"", IF(C17 &lt; 0.5, ""red"", IF(C17 &lt; 0.75, ""orange"", ""green""))})"),"")</f>
        <v/>
      </c>
      <c r="E17" s="121" t="str">
        <f>IFERROR(__xludf.DUMMYFUNCTION("IFERROR(TEXTJOIN("", "", TRUE, FILTER(FILTER($H$1:$K$1, $H$1:$K$1 &lt;&gt; """"), (MAP(FILTER($H$1:$K$1, $H$1:$K$1 &lt;&gt; """"), LAMBDA(player, IFNA(INDEX(Availability!$A:$AAA, MATCH($A17, Availability!$A:$A, 0), MATCH(player, Availability!$1:$1, 0))))) = ""U""))))"),"Grace Webster")</f>
        <v>Grace Webster</v>
      </c>
      <c r="F17" s="121" t="str">
        <f>IFERROR(__xludf.DUMMYFUNCTION("IFERROR(TEXTJOIN("", "", TRUE, FILTER(FILTER($H$1:$K$1, $H$1:$K$1 &lt;&gt; """"), (MAP(FILTER($H$1:$K$1, $H$1:$K$1 &lt;&gt; """"), LAMBDA(player, IFNA(INDEX(Availability!$A:$AAA, MATCH($A17, Availability!$A:$A, 0), MATCH(player, Availability!$1:$1, 0))))) = ""X""))))"),"")</f>
        <v/>
      </c>
      <c r="G17" s="121" t="str">
        <f>IFERROR(__xludf.DUMMYFUNCTION("IFERROR(TEXTJOIN("", "", TRUE, FILTER(FILTER($H$1:$K$1, $H$1:$K$1 &lt;&gt; """"), (MAP(FILTER($H$1:$K$1, $H$1:$K$1 &lt;&gt; """"), LAMBDA(player, IFNA(INDEX(Availability!$A:$AAA, MATCH($A17, Availability!$A:$A, 0), MATCH(player, Availability!$1:$1, 0))))) = ""R""))))"),"")</f>
        <v/>
      </c>
    </row>
    <row r="18">
      <c r="A18" s="118">
        <f t="shared" si="2"/>
        <v>45958</v>
      </c>
      <c r="B18" s="119">
        <f>IFERROR(__xludf.DUMMYFUNCTION("COUNTIFS(MAP(FILTER($H$1:$K$1, $H$1:$K$1 &lt;&gt; """"), LAMBDA(player, IFNA(INDEX(Availability!$A:$AAA, MATCH($A18, Availability!$A:$A, 0), MATCH(player, Availability!$1:$1, 0))))), ""X"") + COUNTIFS(MAP(FILTER($H$1:$K$1, $H$1:$K$1 &lt;&gt; """"), LAMBDA(player, IFN"&amp;"A(INDEX(Availability!$A:$AAA, MATCH($A18, Availability!$A:$A, 0), MATCH(player, Availability!$1:$1, 0))))), ""U"") + COUNTIFS(MAP(FILTER($H$1:$K$1, $H$1:$K$1 &lt;&gt; """"), LAMBDA(player, IFNA(INDEX(Availability!$A:$AAA, MATCH($A18, Availability!$A:$A, 0), MAT"&amp;"CH(player, Availability!$1:$1, 0))))), ""R"")"),1.0)</f>
        <v>1</v>
      </c>
      <c r="C18" s="120">
        <f t="shared" si="1"/>
        <v>0.75</v>
      </c>
      <c r="D18" s="119" t="str">
        <f>IFERROR(__xludf.DUMMYFUNCTION("SPARKLINE(C18, {""charttype"", ""bar""; ""max"", 1; ""color1"", IF(C18 &lt; 0.5, ""red"", IF(C18 &lt; 0.75, ""orange"", ""green""))})"),"")</f>
        <v/>
      </c>
      <c r="E18" s="121" t="str">
        <f>IFERROR(__xludf.DUMMYFUNCTION("IFERROR(TEXTJOIN("", "", TRUE, FILTER(FILTER($H$1:$K$1, $H$1:$K$1 &lt;&gt; """"), (MAP(FILTER($H$1:$K$1, $H$1:$K$1 &lt;&gt; """"), LAMBDA(player, IFNA(INDEX(Availability!$A:$AAA, MATCH($A18, Availability!$A:$A, 0), MATCH(player, Availability!$1:$1, 0))))) = ""U""))))"),"Grace Webster")</f>
        <v>Grace Webster</v>
      </c>
      <c r="F18" s="121" t="str">
        <f>IFERROR(__xludf.DUMMYFUNCTION("IFERROR(TEXTJOIN("", "", TRUE, FILTER(FILTER($H$1:$K$1, $H$1:$K$1 &lt;&gt; """"), (MAP(FILTER($H$1:$K$1, $H$1:$K$1 &lt;&gt; """"), LAMBDA(player, IFNA(INDEX(Availability!$A:$AAA, MATCH($A18, Availability!$A:$A, 0), MATCH(player, Availability!$1:$1, 0))))) = ""X""))))"),"")</f>
        <v/>
      </c>
      <c r="G18" s="121" t="str">
        <f>IFERROR(__xludf.DUMMYFUNCTION("IFERROR(TEXTJOIN("", "", TRUE, FILTER(FILTER($H$1:$K$1, $H$1:$K$1 &lt;&gt; """"), (MAP(FILTER($H$1:$K$1, $H$1:$K$1 &lt;&gt; """"), LAMBDA(player, IFNA(INDEX(Availability!$A:$AAA, MATCH($A18, Availability!$A:$A, 0), MATCH(player, Availability!$1:$1, 0))))) = ""R""))))"),"")</f>
        <v/>
      </c>
    </row>
    <row r="19">
      <c r="A19" s="118">
        <f t="shared" si="2"/>
        <v>45959</v>
      </c>
      <c r="B19" s="119">
        <f>IFERROR(__xludf.DUMMYFUNCTION("COUNTIFS(MAP(FILTER($H$1:$K$1, $H$1:$K$1 &lt;&gt; """"), LAMBDA(player, IFNA(INDEX(Availability!$A:$AAA, MATCH($A19, Availability!$A:$A, 0), MATCH(player, Availability!$1:$1, 0))))), ""X"") + COUNTIFS(MAP(FILTER($H$1:$K$1, $H$1:$K$1 &lt;&gt; """"), LAMBDA(player, IFN"&amp;"A(INDEX(Availability!$A:$AAA, MATCH($A19, Availability!$A:$A, 0), MATCH(player, Availability!$1:$1, 0))))), ""U"") + COUNTIFS(MAP(FILTER($H$1:$K$1, $H$1:$K$1 &lt;&gt; """"), LAMBDA(player, IFNA(INDEX(Availability!$A:$AAA, MATCH($A19, Availability!$A:$A, 0), MAT"&amp;"CH(player, Availability!$1:$1, 0))))), ""R"")"),1.0)</f>
        <v>1</v>
      </c>
      <c r="C19" s="120">
        <f t="shared" si="1"/>
        <v>0.75</v>
      </c>
      <c r="D19" s="119" t="str">
        <f>IFERROR(__xludf.DUMMYFUNCTION("SPARKLINE(C19, {""charttype"", ""bar""; ""max"", 1; ""color1"", IF(C19 &lt; 0.5, ""red"", IF(C19 &lt; 0.75, ""orange"", ""green""))})"),"")</f>
        <v/>
      </c>
      <c r="E19" s="121" t="str">
        <f>IFERROR(__xludf.DUMMYFUNCTION("IFERROR(TEXTJOIN("", "", TRUE, FILTER(FILTER($H$1:$K$1, $H$1:$K$1 &lt;&gt; """"), (MAP(FILTER($H$1:$K$1, $H$1:$K$1 &lt;&gt; """"), LAMBDA(player, IFNA(INDEX(Availability!$A:$AAA, MATCH($A19, Availability!$A:$A, 0), MATCH(player, Availability!$1:$1, 0))))) = ""U""))))"),"Grace Webster")</f>
        <v>Grace Webster</v>
      </c>
      <c r="F19" s="121" t="str">
        <f>IFERROR(__xludf.DUMMYFUNCTION("IFERROR(TEXTJOIN("", "", TRUE, FILTER(FILTER($H$1:$K$1, $H$1:$K$1 &lt;&gt; """"), (MAP(FILTER($H$1:$K$1, $H$1:$K$1 &lt;&gt; """"), LAMBDA(player, IFNA(INDEX(Availability!$A:$AAA, MATCH($A19, Availability!$A:$A, 0), MATCH(player, Availability!$1:$1, 0))))) = ""X""))))"),"")</f>
        <v/>
      </c>
      <c r="G19" s="121" t="str">
        <f>IFERROR(__xludf.DUMMYFUNCTION("IFERROR(TEXTJOIN("", "", TRUE, FILTER(FILTER($H$1:$K$1, $H$1:$K$1 &lt;&gt; """"), (MAP(FILTER($H$1:$K$1, $H$1:$K$1 &lt;&gt; """"), LAMBDA(player, IFNA(INDEX(Availability!$A:$AAA, MATCH($A19, Availability!$A:$A, 0), MATCH(player, Availability!$1:$1, 0))))) = ""R""))))"),"")</f>
        <v/>
      </c>
    </row>
    <row r="20">
      <c r="A20" s="118">
        <f t="shared" si="2"/>
        <v>45960</v>
      </c>
      <c r="B20" s="119">
        <f>IFERROR(__xludf.DUMMYFUNCTION("COUNTIFS(MAP(FILTER($H$1:$K$1, $H$1:$K$1 &lt;&gt; """"), LAMBDA(player, IFNA(INDEX(Availability!$A:$AAA, MATCH($A20, Availability!$A:$A, 0), MATCH(player, Availability!$1:$1, 0))))), ""X"") + COUNTIFS(MAP(FILTER($H$1:$K$1, $H$1:$K$1 &lt;&gt; """"), LAMBDA(player, IFN"&amp;"A(INDEX(Availability!$A:$AAA, MATCH($A20, Availability!$A:$A, 0), MATCH(player, Availability!$1:$1, 0))))), ""U"") + COUNTIFS(MAP(FILTER($H$1:$K$1, $H$1:$K$1 &lt;&gt; """"), LAMBDA(player, IFNA(INDEX(Availability!$A:$AAA, MATCH($A20, Availability!$A:$A, 0), MAT"&amp;"CH(player, Availability!$1:$1, 0))))), ""R"")"),1.0)</f>
        <v>1</v>
      </c>
      <c r="C20" s="120">
        <f t="shared" si="1"/>
        <v>0.75</v>
      </c>
      <c r="D20" s="119" t="str">
        <f>IFERROR(__xludf.DUMMYFUNCTION("SPARKLINE(C20, {""charttype"", ""bar""; ""max"", 1; ""color1"", IF(C20 &lt; 0.5, ""red"", IF(C20 &lt; 0.75, ""orange"", ""green""))})"),"")</f>
        <v/>
      </c>
      <c r="E20" s="121" t="str">
        <f>IFERROR(__xludf.DUMMYFUNCTION("IFERROR(TEXTJOIN("", "", TRUE, FILTER(FILTER($H$1:$K$1, $H$1:$K$1 &lt;&gt; """"), (MAP(FILTER($H$1:$K$1, $H$1:$K$1 &lt;&gt; """"), LAMBDA(player, IFNA(INDEX(Availability!$A:$AAA, MATCH($A20, Availability!$A:$A, 0), MATCH(player, Availability!$1:$1, 0))))) = ""U""))))"),"Grace Webster")</f>
        <v>Grace Webster</v>
      </c>
      <c r="F20" s="121" t="str">
        <f>IFERROR(__xludf.DUMMYFUNCTION("IFERROR(TEXTJOIN("", "", TRUE, FILTER(FILTER($H$1:$K$1, $H$1:$K$1 &lt;&gt; """"), (MAP(FILTER($H$1:$K$1, $H$1:$K$1 &lt;&gt; """"), LAMBDA(player, IFNA(INDEX(Availability!$A:$AAA, MATCH($A20, Availability!$A:$A, 0), MATCH(player, Availability!$1:$1, 0))))) = ""X""))))"),"")</f>
        <v/>
      </c>
      <c r="G20" s="121" t="str">
        <f>IFERROR(__xludf.DUMMYFUNCTION("IFERROR(TEXTJOIN("", "", TRUE, FILTER(FILTER($H$1:$K$1, $H$1:$K$1 &lt;&gt; """"), (MAP(FILTER($H$1:$K$1, $H$1:$K$1 &lt;&gt; """"), LAMBDA(player, IFNA(INDEX(Availability!$A:$AAA, MATCH($A20, Availability!$A:$A, 0), MATCH(player, Availability!$1:$1, 0))))) = ""R""))))"),"")</f>
        <v/>
      </c>
    </row>
    <row r="21">
      <c r="A21" s="118">
        <f t="shared" si="2"/>
        <v>45961</v>
      </c>
      <c r="B21" s="119">
        <f>IFERROR(__xludf.DUMMYFUNCTION("COUNTIFS(MAP(FILTER($H$1:$K$1, $H$1:$K$1 &lt;&gt; """"), LAMBDA(player, IFNA(INDEX(Availability!$A:$AAA, MATCH($A21, Availability!$A:$A, 0), MATCH(player, Availability!$1:$1, 0))))), ""X"") + COUNTIFS(MAP(FILTER($H$1:$K$1, $H$1:$K$1 &lt;&gt; """"), LAMBDA(player, IFN"&amp;"A(INDEX(Availability!$A:$AAA, MATCH($A21, Availability!$A:$A, 0), MATCH(player, Availability!$1:$1, 0))))), ""U"") + COUNTIFS(MAP(FILTER($H$1:$K$1, $H$1:$K$1 &lt;&gt; """"), LAMBDA(player, IFNA(INDEX(Availability!$A:$AAA, MATCH($A21, Availability!$A:$A, 0), MAT"&amp;"CH(player, Availability!$1:$1, 0))))), ""R"")"),2.0)</f>
        <v>2</v>
      </c>
      <c r="C21" s="120">
        <f t="shared" si="1"/>
        <v>0.5</v>
      </c>
      <c r="D21" s="119" t="str">
        <f>IFERROR(__xludf.DUMMYFUNCTION("SPARKLINE(C21, {""charttype"", ""bar""; ""max"", 1; ""color1"", IF(C21 &lt; 0.5, ""red"", IF(C21 &lt; 0.75, ""orange"", ""green""))})"),"")</f>
        <v/>
      </c>
      <c r="E21" s="121" t="str">
        <f>IFERROR(__xludf.DUMMYFUNCTION("IFERROR(TEXTJOIN("", "", TRUE, FILTER(FILTER($H$1:$K$1, $H$1:$K$1 &lt;&gt; """"), (MAP(FILTER($H$1:$K$1, $H$1:$K$1 &lt;&gt; """"), LAMBDA(player, IFNA(INDEX(Availability!$A:$AAA, MATCH($A21, Availability!$A:$A, 0), MATCH(player, Availability!$1:$1, 0))))) = ""U""))))"),"Robbie Frost, Grace Webster")</f>
        <v>Robbie Frost, Grace Webster</v>
      </c>
      <c r="F21" s="121" t="str">
        <f>IFERROR(__xludf.DUMMYFUNCTION("IFERROR(TEXTJOIN("", "", TRUE, FILTER(FILTER($H$1:$K$1, $H$1:$K$1 &lt;&gt; """"), (MAP(FILTER($H$1:$K$1, $H$1:$K$1 &lt;&gt; """"), LAMBDA(player, IFNA(INDEX(Availability!$A:$AAA, MATCH($A21, Availability!$A:$A, 0), MATCH(player, Availability!$1:$1, 0))))) = ""X""))))"),"")</f>
        <v/>
      </c>
      <c r="G21" s="121" t="str">
        <f>IFERROR(__xludf.DUMMYFUNCTION("IFERROR(TEXTJOIN("", "", TRUE, FILTER(FILTER($H$1:$K$1, $H$1:$K$1 &lt;&gt; """"), (MAP(FILTER($H$1:$K$1, $H$1:$K$1 &lt;&gt; """"), LAMBDA(player, IFNA(INDEX(Availability!$A:$AAA, MATCH($A21, Availability!$A:$A, 0), MATCH(player, Availability!$1:$1, 0))))) = ""R""))))"),"")</f>
        <v/>
      </c>
    </row>
    <row r="22">
      <c r="A22" s="118">
        <f t="shared" si="2"/>
        <v>45962</v>
      </c>
      <c r="B22" s="119">
        <f>IFERROR(__xludf.DUMMYFUNCTION("COUNTIFS(MAP(FILTER($H$1:$K$1, $H$1:$K$1 &lt;&gt; """"), LAMBDA(player, IFNA(INDEX(Availability!$A:$AAA, MATCH($A22, Availability!$A:$A, 0), MATCH(player, Availability!$1:$1, 0))))), ""X"") + COUNTIFS(MAP(FILTER($H$1:$K$1, $H$1:$K$1 &lt;&gt; """"), LAMBDA(player, IFN"&amp;"A(INDEX(Availability!$A:$AAA, MATCH($A22, Availability!$A:$A, 0), MATCH(player, Availability!$1:$1, 0))))), ""U"") + COUNTIFS(MAP(FILTER($H$1:$K$1, $H$1:$K$1 &lt;&gt; """"), LAMBDA(player, IFNA(INDEX(Availability!$A:$AAA, MATCH($A22, Availability!$A:$A, 0), MAT"&amp;"CH(player, Availability!$1:$1, 0))))), ""R"")"),2.0)</f>
        <v>2</v>
      </c>
      <c r="C22" s="120">
        <f t="shared" si="1"/>
        <v>0.5</v>
      </c>
      <c r="D22" s="119" t="str">
        <f>IFERROR(__xludf.DUMMYFUNCTION("SPARKLINE(C22, {""charttype"", ""bar""; ""max"", 1; ""color1"", IF(C22 &lt; 0.5, ""red"", IF(C22 &lt; 0.75, ""orange"", ""green""))})"),"")</f>
        <v/>
      </c>
      <c r="E22" s="121" t="str">
        <f>IFERROR(__xludf.DUMMYFUNCTION("IFERROR(TEXTJOIN("", "", TRUE, FILTER(FILTER($H$1:$K$1, $H$1:$K$1 &lt;&gt; """"), (MAP(FILTER($H$1:$K$1, $H$1:$K$1 &lt;&gt; """"), LAMBDA(player, IFNA(INDEX(Availability!$A:$AAA, MATCH($A22, Availability!$A:$A, 0), MATCH(player, Availability!$1:$1, 0))))) = ""U""))))"),"Robbie Frost, Grace Webster")</f>
        <v>Robbie Frost, Grace Webster</v>
      </c>
      <c r="F22" s="121" t="str">
        <f>IFERROR(__xludf.DUMMYFUNCTION("IFERROR(TEXTJOIN("", "", TRUE, FILTER(FILTER($H$1:$K$1, $H$1:$K$1 &lt;&gt; """"), (MAP(FILTER($H$1:$K$1, $H$1:$K$1 &lt;&gt; """"), LAMBDA(player, IFNA(INDEX(Availability!$A:$AAA, MATCH($A22, Availability!$A:$A, 0), MATCH(player, Availability!$1:$1, 0))))) = ""X""))))"),"")</f>
        <v/>
      </c>
      <c r="G22" s="121" t="str">
        <f>IFERROR(__xludf.DUMMYFUNCTION("IFERROR(TEXTJOIN("", "", TRUE, FILTER(FILTER($H$1:$K$1, $H$1:$K$1 &lt;&gt; """"), (MAP(FILTER($H$1:$K$1, $H$1:$K$1 &lt;&gt; """"), LAMBDA(player, IFNA(INDEX(Availability!$A:$AAA, MATCH($A22, Availability!$A:$A, 0), MATCH(player, Availability!$1:$1, 0))))) = ""R""))))"),"")</f>
        <v/>
      </c>
    </row>
    <row r="23">
      <c r="A23" s="118">
        <f t="shared" si="2"/>
        <v>45963</v>
      </c>
      <c r="B23" s="119">
        <f>IFERROR(__xludf.DUMMYFUNCTION("COUNTIFS(MAP(FILTER($H$1:$K$1, $H$1:$K$1 &lt;&gt; """"), LAMBDA(player, IFNA(INDEX(Availability!$A:$AAA, MATCH($A23, Availability!$A:$A, 0), MATCH(player, Availability!$1:$1, 0))))), ""X"") + COUNTIFS(MAP(FILTER($H$1:$K$1, $H$1:$K$1 &lt;&gt; """"), LAMBDA(player, IFN"&amp;"A(INDEX(Availability!$A:$AAA, MATCH($A23, Availability!$A:$A, 0), MATCH(player, Availability!$1:$1, 0))))), ""U"") + COUNTIFS(MAP(FILTER($H$1:$K$1, $H$1:$K$1 &lt;&gt; """"), LAMBDA(player, IFNA(INDEX(Availability!$A:$AAA, MATCH($A23, Availability!$A:$A, 0), MAT"&amp;"CH(player, Availability!$1:$1, 0))))), ""R"")"),2.0)</f>
        <v>2</v>
      </c>
      <c r="C23" s="120">
        <f t="shared" si="1"/>
        <v>0.5</v>
      </c>
      <c r="D23" s="119" t="str">
        <f>IFERROR(__xludf.DUMMYFUNCTION("SPARKLINE(C23, {""charttype"", ""bar""; ""max"", 1; ""color1"", IF(C23 &lt; 0.5, ""red"", IF(C23 &lt; 0.75, ""orange"", ""green""))})"),"")</f>
        <v/>
      </c>
      <c r="E23" s="121" t="str">
        <f>IFERROR(__xludf.DUMMYFUNCTION("IFERROR(TEXTJOIN("", "", TRUE, FILTER(FILTER($H$1:$K$1, $H$1:$K$1 &lt;&gt; """"), (MAP(FILTER($H$1:$K$1, $H$1:$K$1 &lt;&gt; """"), LAMBDA(player, IFNA(INDEX(Availability!$A:$AAA, MATCH($A23, Availability!$A:$A, 0), MATCH(player, Availability!$1:$1, 0))))) = ""U""))))"),"Robbie Frost, Grace Webster")</f>
        <v>Robbie Frost, Grace Webster</v>
      </c>
      <c r="F23" s="121" t="str">
        <f>IFERROR(__xludf.DUMMYFUNCTION("IFERROR(TEXTJOIN("", "", TRUE, FILTER(FILTER($H$1:$K$1, $H$1:$K$1 &lt;&gt; """"), (MAP(FILTER($H$1:$K$1, $H$1:$K$1 &lt;&gt; """"), LAMBDA(player, IFNA(INDEX(Availability!$A:$AAA, MATCH($A23, Availability!$A:$A, 0), MATCH(player, Availability!$1:$1, 0))))) = ""X""))))"),"")</f>
        <v/>
      </c>
      <c r="G23" s="121" t="str">
        <f>IFERROR(__xludf.DUMMYFUNCTION("IFERROR(TEXTJOIN("", "", TRUE, FILTER(FILTER($H$1:$K$1, $H$1:$K$1 &lt;&gt; """"), (MAP(FILTER($H$1:$K$1, $H$1:$K$1 &lt;&gt; """"), LAMBDA(player, IFNA(INDEX(Availability!$A:$AAA, MATCH($A23, Availability!$A:$A, 0), MATCH(player, Availability!$1:$1, 0))))) = ""R""))))"),"")</f>
        <v/>
      </c>
    </row>
    <row r="24">
      <c r="A24" s="118">
        <f t="shared" si="2"/>
        <v>45964</v>
      </c>
      <c r="B24" s="119">
        <f>IFERROR(__xludf.DUMMYFUNCTION("COUNTIFS(MAP(FILTER($H$1:$K$1, $H$1:$K$1 &lt;&gt; """"), LAMBDA(player, IFNA(INDEX(Availability!$A:$AAA, MATCH($A24, Availability!$A:$A, 0), MATCH(player, Availability!$1:$1, 0))))), ""X"") + COUNTIFS(MAP(FILTER($H$1:$K$1, $H$1:$K$1 &lt;&gt; """"), LAMBDA(player, IFN"&amp;"A(INDEX(Availability!$A:$AAA, MATCH($A24, Availability!$A:$A, 0), MATCH(player, Availability!$1:$1, 0))))), ""U"") + COUNTIFS(MAP(FILTER($H$1:$K$1, $H$1:$K$1 &lt;&gt; """"), LAMBDA(player, IFNA(INDEX(Availability!$A:$AAA, MATCH($A24, Availability!$A:$A, 0), MAT"&amp;"CH(player, Availability!$1:$1, 0))))), ""R"")"),1.0)</f>
        <v>1</v>
      </c>
      <c r="C24" s="120">
        <f t="shared" si="1"/>
        <v>0.75</v>
      </c>
      <c r="D24" s="119" t="str">
        <f>IFERROR(__xludf.DUMMYFUNCTION("SPARKLINE(C24, {""charttype"", ""bar""; ""max"", 1; ""color1"", IF(C24 &lt; 0.5, ""red"", IF(C24 &lt; 0.75, ""orange"", ""green""))})"),"")</f>
        <v/>
      </c>
      <c r="E24" s="121" t="str">
        <f>IFERROR(__xludf.DUMMYFUNCTION("IFERROR(TEXTJOIN("", "", TRUE, FILTER(FILTER($H$1:$K$1, $H$1:$K$1 &lt;&gt; """"), (MAP(FILTER($H$1:$K$1, $H$1:$K$1 &lt;&gt; """"), LAMBDA(player, IFNA(INDEX(Availability!$A:$AAA, MATCH($A24, Availability!$A:$A, 0), MATCH(player, Availability!$1:$1, 0))))) = ""U""))))"),"Grace Webster")</f>
        <v>Grace Webster</v>
      </c>
      <c r="F24" s="121" t="str">
        <f>IFERROR(__xludf.DUMMYFUNCTION("IFERROR(TEXTJOIN("", "", TRUE, FILTER(FILTER($H$1:$K$1, $H$1:$K$1 &lt;&gt; """"), (MAP(FILTER($H$1:$K$1, $H$1:$K$1 &lt;&gt; """"), LAMBDA(player, IFNA(INDEX(Availability!$A:$AAA, MATCH($A24, Availability!$A:$A, 0), MATCH(player, Availability!$1:$1, 0))))) = ""X""))))"),"")</f>
        <v/>
      </c>
      <c r="G24" s="121" t="str">
        <f>IFERROR(__xludf.DUMMYFUNCTION("IFERROR(TEXTJOIN("", "", TRUE, FILTER(FILTER($H$1:$K$1, $H$1:$K$1 &lt;&gt; """"), (MAP(FILTER($H$1:$K$1, $H$1:$K$1 &lt;&gt; """"), LAMBDA(player, IFNA(INDEX(Availability!$A:$AAA, MATCH($A24, Availability!$A:$A, 0), MATCH(player, Availability!$1:$1, 0))))) = ""R""))))"),"")</f>
        <v/>
      </c>
    </row>
    <row r="25">
      <c r="A25" s="118">
        <f t="shared" si="2"/>
        <v>45965</v>
      </c>
      <c r="B25" s="119">
        <f>IFERROR(__xludf.DUMMYFUNCTION("COUNTIFS(MAP(FILTER($H$1:$K$1, $H$1:$K$1 &lt;&gt; """"), LAMBDA(player, IFNA(INDEX(Availability!$A:$AAA, MATCH($A25, Availability!$A:$A, 0), MATCH(player, Availability!$1:$1, 0))))), ""X"") + COUNTIFS(MAP(FILTER($H$1:$K$1, $H$1:$K$1 &lt;&gt; """"), LAMBDA(player, IFN"&amp;"A(INDEX(Availability!$A:$AAA, MATCH($A25, Availability!$A:$A, 0), MATCH(player, Availability!$1:$1, 0))))), ""U"") + COUNTIFS(MAP(FILTER($H$1:$K$1, $H$1:$K$1 &lt;&gt; """"), LAMBDA(player, IFNA(INDEX(Availability!$A:$AAA, MATCH($A25, Availability!$A:$A, 0), MAT"&amp;"CH(player, Availability!$1:$1, 0))))), ""R"")"),1.0)</f>
        <v>1</v>
      </c>
      <c r="C25" s="120">
        <f t="shared" si="1"/>
        <v>0.75</v>
      </c>
      <c r="D25" s="119" t="str">
        <f>IFERROR(__xludf.DUMMYFUNCTION("SPARKLINE(C25, {""charttype"", ""bar""; ""max"", 1; ""color1"", IF(C25 &lt; 0.5, ""red"", IF(C25 &lt; 0.75, ""orange"", ""green""))})"),"")</f>
        <v/>
      </c>
      <c r="E25" s="121" t="str">
        <f>IFERROR(__xludf.DUMMYFUNCTION("IFERROR(TEXTJOIN("", "", TRUE, FILTER(FILTER($H$1:$K$1, $H$1:$K$1 &lt;&gt; """"), (MAP(FILTER($H$1:$K$1, $H$1:$K$1 &lt;&gt; """"), LAMBDA(player, IFNA(INDEX(Availability!$A:$AAA, MATCH($A25, Availability!$A:$A, 0), MATCH(player, Availability!$1:$1, 0))))) = ""U""))))"),"Grace Webster")</f>
        <v>Grace Webster</v>
      </c>
      <c r="F25" s="121" t="str">
        <f>IFERROR(__xludf.DUMMYFUNCTION("IFERROR(TEXTJOIN("", "", TRUE, FILTER(FILTER($H$1:$K$1, $H$1:$K$1 &lt;&gt; """"), (MAP(FILTER($H$1:$K$1, $H$1:$K$1 &lt;&gt; """"), LAMBDA(player, IFNA(INDEX(Availability!$A:$AAA, MATCH($A25, Availability!$A:$A, 0), MATCH(player, Availability!$1:$1, 0))))) = ""X""))))"),"")</f>
        <v/>
      </c>
      <c r="G25" s="121" t="str">
        <f>IFERROR(__xludf.DUMMYFUNCTION("IFERROR(TEXTJOIN("", "", TRUE, FILTER(FILTER($H$1:$K$1, $H$1:$K$1 &lt;&gt; """"), (MAP(FILTER($H$1:$K$1, $H$1:$K$1 &lt;&gt; """"), LAMBDA(player, IFNA(INDEX(Availability!$A:$AAA, MATCH($A25, Availability!$A:$A, 0), MATCH(player, Availability!$1:$1, 0))))) = ""R""))))"),"")</f>
        <v/>
      </c>
    </row>
    <row r="26">
      <c r="A26" s="118">
        <f t="shared" si="2"/>
        <v>45966</v>
      </c>
      <c r="B26" s="119">
        <f>IFERROR(__xludf.DUMMYFUNCTION("COUNTIFS(MAP(FILTER($H$1:$K$1, $H$1:$K$1 &lt;&gt; """"), LAMBDA(player, IFNA(INDEX(Availability!$A:$AAA, MATCH($A26, Availability!$A:$A, 0), MATCH(player, Availability!$1:$1, 0))))), ""X"") + COUNTIFS(MAP(FILTER($H$1:$K$1, $H$1:$K$1 &lt;&gt; """"), LAMBDA(player, IFN"&amp;"A(INDEX(Availability!$A:$AAA, MATCH($A26, Availability!$A:$A, 0), MATCH(player, Availability!$1:$1, 0))))), ""U"") + COUNTIFS(MAP(FILTER($H$1:$K$1, $H$1:$K$1 &lt;&gt; """"), LAMBDA(player, IFNA(INDEX(Availability!$A:$AAA, MATCH($A26, Availability!$A:$A, 0), MAT"&amp;"CH(player, Availability!$1:$1, 0))))), ""R"")"),1.0)</f>
        <v>1</v>
      </c>
      <c r="C26" s="120">
        <f t="shared" si="1"/>
        <v>0.75</v>
      </c>
      <c r="D26" s="119" t="str">
        <f>IFERROR(__xludf.DUMMYFUNCTION("SPARKLINE(C26, {""charttype"", ""bar""; ""max"", 1; ""color1"", IF(C26 &lt; 0.5, ""red"", IF(C26 &lt; 0.75, ""orange"", ""green""))})"),"")</f>
        <v/>
      </c>
      <c r="E26" s="121" t="str">
        <f>IFERROR(__xludf.DUMMYFUNCTION("IFERROR(TEXTJOIN("", "", TRUE, FILTER(FILTER($H$1:$K$1, $H$1:$K$1 &lt;&gt; """"), (MAP(FILTER($H$1:$K$1, $H$1:$K$1 &lt;&gt; """"), LAMBDA(player, IFNA(INDEX(Availability!$A:$AAA, MATCH($A26, Availability!$A:$A, 0), MATCH(player, Availability!$1:$1, 0))))) = ""U""))))"),"Grace Webster")</f>
        <v>Grace Webster</v>
      </c>
      <c r="F26" s="121" t="str">
        <f>IFERROR(__xludf.DUMMYFUNCTION("IFERROR(TEXTJOIN("", "", TRUE, FILTER(FILTER($H$1:$K$1, $H$1:$K$1 &lt;&gt; """"), (MAP(FILTER($H$1:$K$1, $H$1:$K$1 &lt;&gt; """"), LAMBDA(player, IFNA(INDEX(Availability!$A:$AAA, MATCH($A26, Availability!$A:$A, 0), MATCH(player, Availability!$1:$1, 0))))) = ""X""))))"),"")</f>
        <v/>
      </c>
      <c r="G26" s="121" t="str">
        <f>IFERROR(__xludf.DUMMYFUNCTION("IFERROR(TEXTJOIN("", "", TRUE, FILTER(FILTER($H$1:$K$1, $H$1:$K$1 &lt;&gt; """"), (MAP(FILTER($H$1:$K$1, $H$1:$K$1 &lt;&gt; """"), LAMBDA(player, IFNA(INDEX(Availability!$A:$AAA, MATCH($A26, Availability!$A:$A, 0), MATCH(player, Availability!$1:$1, 0))))) = ""R""))))"),"")</f>
        <v/>
      </c>
    </row>
    <row r="27">
      <c r="A27" s="118">
        <f t="shared" si="2"/>
        <v>45967</v>
      </c>
      <c r="B27" s="119">
        <f>IFERROR(__xludf.DUMMYFUNCTION("COUNTIFS(MAP(FILTER($H$1:$K$1, $H$1:$K$1 &lt;&gt; """"), LAMBDA(player, IFNA(INDEX(Availability!$A:$AAA, MATCH($A27, Availability!$A:$A, 0), MATCH(player, Availability!$1:$1, 0))))), ""X"") + COUNTIFS(MAP(FILTER($H$1:$K$1, $H$1:$K$1 &lt;&gt; """"), LAMBDA(player, IFN"&amp;"A(INDEX(Availability!$A:$AAA, MATCH($A27, Availability!$A:$A, 0), MATCH(player, Availability!$1:$1, 0))))), ""U"") + COUNTIFS(MAP(FILTER($H$1:$K$1, $H$1:$K$1 &lt;&gt; """"), LAMBDA(player, IFNA(INDEX(Availability!$A:$AAA, MATCH($A27, Availability!$A:$A, 0), MAT"&amp;"CH(player, Availability!$1:$1, 0))))), ""R"")"),1.0)</f>
        <v>1</v>
      </c>
      <c r="C27" s="120">
        <f t="shared" si="1"/>
        <v>0.75</v>
      </c>
      <c r="D27" s="119" t="str">
        <f>IFERROR(__xludf.DUMMYFUNCTION("SPARKLINE(C27, {""charttype"", ""bar""; ""max"", 1; ""color1"", IF(C27 &lt; 0.5, ""red"", IF(C27 &lt; 0.75, ""orange"", ""green""))})"),"")</f>
        <v/>
      </c>
      <c r="E27" s="121" t="str">
        <f>IFERROR(__xludf.DUMMYFUNCTION("IFERROR(TEXTJOIN("", "", TRUE, FILTER(FILTER($H$1:$K$1, $H$1:$K$1 &lt;&gt; """"), (MAP(FILTER($H$1:$K$1, $H$1:$K$1 &lt;&gt; """"), LAMBDA(player, IFNA(INDEX(Availability!$A:$AAA, MATCH($A27, Availability!$A:$A, 0), MATCH(player, Availability!$1:$1, 0))))) = ""U""))))"),"Grace Webster")</f>
        <v>Grace Webster</v>
      </c>
      <c r="F27" s="121" t="str">
        <f>IFERROR(__xludf.DUMMYFUNCTION("IFERROR(TEXTJOIN("", "", TRUE, FILTER(FILTER($H$1:$K$1, $H$1:$K$1 &lt;&gt; """"), (MAP(FILTER($H$1:$K$1, $H$1:$K$1 &lt;&gt; """"), LAMBDA(player, IFNA(INDEX(Availability!$A:$AAA, MATCH($A27, Availability!$A:$A, 0), MATCH(player, Availability!$1:$1, 0))))) = ""X""))))"),"")</f>
        <v/>
      </c>
      <c r="G27" s="121" t="str">
        <f>IFERROR(__xludf.DUMMYFUNCTION("IFERROR(TEXTJOIN("", "", TRUE, FILTER(FILTER($H$1:$K$1, $H$1:$K$1 &lt;&gt; """"), (MAP(FILTER($H$1:$K$1, $H$1:$K$1 &lt;&gt; """"), LAMBDA(player, IFNA(INDEX(Availability!$A:$AAA, MATCH($A27, Availability!$A:$A, 0), MATCH(player, Availability!$1:$1, 0))))) = ""R""))))"),"")</f>
        <v/>
      </c>
    </row>
    <row r="28">
      <c r="A28" s="118">
        <f t="shared" si="2"/>
        <v>45968</v>
      </c>
      <c r="B28" s="119">
        <f>IFERROR(__xludf.DUMMYFUNCTION("COUNTIFS(MAP(FILTER($H$1:$K$1, $H$1:$K$1 &lt;&gt; """"), LAMBDA(player, IFNA(INDEX(Availability!$A:$AAA, MATCH($A28, Availability!$A:$A, 0), MATCH(player, Availability!$1:$1, 0))))), ""X"") + COUNTIFS(MAP(FILTER($H$1:$K$1, $H$1:$K$1 &lt;&gt; """"), LAMBDA(player, IFN"&amp;"A(INDEX(Availability!$A:$AAA, MATCH($A28, Availability!$A:$A, 0), MATCH(player, Availability!$1:$1, 0))))), ""U"") + COUNTIFS(MAP(FILTER($H$1:$K$1, $H$1:$K$1 &lt;&gt; """"), LAMBDA(player, IFNA(INDEX(Availability!$A:$AAA, MATCH($A28, Availability!$A:$A, 0), MAT"&amp;"CH(player, Availability!$1:$1, 0))))), ""R"")"),1.0)</f>
        <v>1</v>
      </c>
      <c r="C28" s="120">
        <f t="shared" si="1"/>
        <v>0.75</v>
      </c>
      <c r="D28" s="119" t="str">
        <f>IFERROR(__xludf.DUMMYFUNCTION("SPARKLINE(C28, {""charttype"", ""bar""; ""max"", 1; ""color1"", IF(C28 &lt; 0.5, ""red"", IF(C28 &lt; 0.75, ""orange"", ""green""))})"),"")</f>
        <v/>
      </c>
      <c r="E28" s="121" t="str">
        <f>IFERROR(__xludf.DUMMYFUNCTION("IFERROR(TEXTJOIN("", "", TRUE, FILTER(FILTER($H$1:$K$1, $H$1:$K$1 &lt;&gt; """"), (MAP(FILTER($H$1:$K$1, $H$1:$K$1 &lt;&gt; """"), LAMBDA(player, IFNA(INDEX(Availability!$A:$AAA, MATCH($A28, Availability!$A:$A, 0), MATCH(player, Availability!$1:$1, 0))))) = ""U""))))"),"Grace Webster")</f>
        <v>Grace Webster</v>
      </c>
      <c r="F28" s="121" t="str">
        <f>IFERROR(__xludf.DUMMYFUNCTION("IFERROR(TEXTJOIN("", "", TRUE, FILTER(FILTER($H$1:$K$1, $H$1:$K$1 &lt;&gt; """"), (MAP(FILTER($H$1:$K$1, $H$1:$K$1 &lt;&gt; """"), LAMBDA(player, IFNA(INDEX(Availability!$A:$AAA, MATCH($A28, Availability!$A:$A, 0), MATCH(player, Availability!$1:$1, 0))))) = ""X""))))"),"")</f>
        <v/>
      </c>
      <c r="G28" s="121" t="str">
        <f>IFERROR(__xludf.DUMMYFUNCTION("IFERROR(TEXTJOIN("", "", TRUE, FILTER(FILTER($H$1:$K$1, $H$1:$K$1 &lt;&gt; """"), (MAP(FILTER($H$1:$K$1, $H$1:$K$1 &lt;&gt; """"), LAMBDA(player, IFNA(INDEX(Availability!$A:$AAA, MATCH($A28, Availability!$A:$A, 0), MATCH(player, Availability!$1:$1, 0))))) = ""R""))))"),"")</f>
        <v/>
      </c>
    </row>
    <row r="29">
      <c r="A29" s="118">
        <f t="shared" si="2"/>
        <v>45969</v>
      </c>
      <c r="B29" s="119">
        <f>IFERROR(__xludf.DUMMYFUNCTION("COUNTIFS(MAP(FILTER($H$1:$K$1, $H$1:$K$1 &lt;&gt; """"), LAMBDA(player, IFNA(INDEX(Availability!$A:$AAA, MATCH($A29, Availability!$A:$A, 0), MATCH(player, Availability!$1:$1, 0))))), ""X"") + COUNTIFS(MAP(FILTER($H$1:$K$1, $H$1:$K$1 &lt;&gt; """"), LAMBDA(player, IFN"&amp;"A(INDEX(Availability!$A:$AAA, MATCH($A29, Availability!$A:$A, 0), MATCH(player, Availability!$1:$1, 0))))), ""U"") + COUNTIFS(MAP(FILTER($H$1:$K$1, $H$1:$K$1 &lt;&gt; """"), LAMBDA(player, IFNA(INDEX(Availability!$A:$AAA, MATCH($A29, Availability!$A:$A, 0), MAT"&amp;"CH(player, Availability!$1:$1, 0))))), ""R"")"),0.0)</f>
        <v>0</v>
      </c>
      <c r="C29" s="120">
        <f t="shared" si="1"/>
        <v>1</v>
      </c>
      <c r="D29" s="119" t="str">
        <f>IFERROR(__xludf.DUMMYFUNCTION("SPARKLINE(C29, {""charttype"", ""bar""; ""max"", 1; ""color1"", IF(C29 &lt; 0.5, ""red"", IF(C29 &lt; 0.75, ""orange"", ""green""))})"),"")</f>
        <v/>
      </c>
      <c r="E29" s="121" t="str">
        <f>IFERROR(__xludf.DUMMYFUNCTION("IFERROR(TEXTJOIN("", "", TRUE, FILTER(FILTER($H$1:$K$1, $H$1:$K$1 &lt;&gt; """"), (MAP(FILTER($H$1:$K$1, $H$1:$K$1 &lt;&gt; """"), LAMBDA(player, IFNA(INDEX(Availability!$A:$AAA, MATCH($A29, Availability!$A:$A, 0), MATCH(player, Availability!$1:$1, 0))))) = ""U""))))"),"")</f>
        <v/>
      </c>
      <c r="F29" s="121" t="str">
        <f>IFERROR(__xludf.DUMMYFUNCTION("IFERROR(TEXTJOIN("", "", TRUE, FILTER(FILTER($H$1:$K$1, $H$1:$K$1 &lt;&gt; """"), (MAP(FILTER($H$1:$K$1, $H$1:$K$1 &lt;&gt; """"), LAMBDA(player, IFNA(INDEX(Availability!$A:$AAA, MATCH($A29, Availability!$A:$A, 0), MATCH(player, Availability!$1:$1, 0))))) = ""X""))))"),"")</f>
        <v/>
      </c>
      <c r="G29" s="121" t="str">
        <f>IFERROR(__xludf.DUMMYFUNCTION("IFERROR(TEXTJOIN("", "", TRUE, FILTER(FILTER($H$1:$K$1, $H$1:$K$1 &lt;&gt; """"), (MAP(FILTER($H$1:$K$1, $H$1:$K$1 &lt;&gt; """"), LAMBDA(player, IFNA(INDEX(Availability!$A:$AAA, MATCH($A29, Availability!$A:$A, 0), MATCH(player, Availability!$1:$1, 0))))) = ""R""))))"),"")</f>
        <v/>
      </c>
    </row>
    <row r="30">
      <c r="A30" s="118">
        <f t="shared" si="2"/>
        <v>45970</v>
      </c>
      <c r="B30" s="119">
        <f>IFERROR(__xludf.DUMMYFUNCTION("COUNTIFS(MAP(FILTER($H$1:$K$1, $H$1:$K$1 &lt;&gt; """"), LAMBDA(player, IFNA(INDEX(Availability!$A:$AAA, MATCH($A30, Availability!$A:$A, 0), MATCH(player, Availability!$1:$1, 0))))), ""X"") + COUNTIFS(MAP(FILTER($H$1:$K$1, $H$1:$K$1 &lt;&gt; """"), LAMBDA(player, IFN"&amp;"A(INDEX(Availability!$A:$AAA, MATCH($A30, Availability!$A:$A, 0), MATCH(player, Availability!$1:$1, 0))))), ""U"") + COUNTIFS(MAP(FILTER($H$1:$K$1, $H$1:$K$1 &lt;&gt; """"), LAMBDA(player, IFNA(INDEX(Availability!$A:$AAA, MATCH($A30, Availability!$A:$A, 0), MAT"&amp;"CH(player, Availability!$1:$1, 0))))), ""R"")"),0.0)</f>
        <v>0</v>
      </c>
      <c r="C30" s="120">
        <f t="shared" si="1"/>
        <v>1</v>
      </c>
      <c r="D30" s="119" t="str">
        <f>IFERROR(__xludf.DUMMYFUNCTION("SPARKLINE(C30, {""charttype"", ""bar""; ""max"", 1; ""color1"", IF(C30 &lt; 0.5, ""red"", IF(C30 &lt; 0.75, ""orange"", ""green""))})"),"")</f>
        <v/>
      </c>
      <c r="E30" s="121" t="str">
        <f>IFERROR(__xludf.DUMMYFUNCTION("IFERROR(TEXTJOIN("", "", TRUE, FILTER(FILTER($H$1:$K$1, $H$1:$K$1 &lt;&gt; """"), (MAP(FILTER($H$1:$K$1, $H$1:$K$1 &lt;&gt; """"), LAMBDA(player, IFNA(INDEX(Availability!$A:$AAA, MATCH($A30, Availability!$A:$A, 0), MATCH(player, Availability!$1:$1, 0))))) = ""U""))))"),"")</f>
        <v/>
      </c>
      <c r="F30" s="121" t="str">
        <f>IFERROR(__xludf.DUMMYFUNCTION("IFERROR(TEXTJOIN("", "", TRUE, FILTER(FILTER($H$1:$K$1, $H$1:$K$1 &lt;&gt; """"), (MAP(FILTER($H$1:$K$1, $H$1:$K$1 &lt;&gt; """"), LAMBDA(player, IFNA(INDEX(Availability!$A:$AAA, MATCH($A30, Availability!$A:$A, 0), MATCH(player, Availability!$1:$1, 0))))) = ""X""))))"),"")</f>
        <v/>
      </c>
      <c r="G30" s="121" t="str">
        <f>IFERROR(__xludf.DUMMYFUNCTION("IFERROR(TEXTJOIN("", "", TRUE, FILTER(FILTER($H$1:$K$1, $H$1:$K$1 &lt;&gt; """"), (MAP(FILTER($H$1:$K$1, $H$1:$K$1 &lt;&gt; """"), LAMBDA(player, IFNA(INDEX(Availability!$A:$AAA, MATCH($A30, Availability!$A:$A, 0), MATCH(player, Availability!$1:$1, 0))))) = ""R""))))"),"")</f>
        <v/>
      </c>
    </row>
    <row r="31">
      <c r="A31" s="118">
        <f t="shared" si="2"/>
        <v>45971</v>
      </c>
      <c r="B31" s="119">
        <f>IFERROR(__xludf.DUMMYFUNCTION("COUNTIFS(MAP(FILTER($H$1:$K$1, $H$1:$K$1 &lt;&gt; """"), LAMBDA(player, IFNA(INDEX(Availability!$A:$AAA, MATCH($A31, Availability!$A:$A, 0), MATCH(player, Availability!$1:$1, 0))))), ""X"") + COUNTIFS(MAP(FILTER($H$1:$K$1, $H$1:$K$1 &lt;&gt; """"), LAMBDA(player, IFN"&amp;"A(INDEX(Availability!$A:$AAA, MATCH($A31, Availability!$A:$A, 0), MATCH(player, Availability!$1:$1, 0))))), ""U"") + COUNTIFS(MAP(FILTER($H$1:$K$1, $H$1:$K$1 &lt;&gt; """"), LAMBDA(player, IFNA(INDEX(Availability!$A:$AAA, MATCH($A31, Availability!$A:$A, 0), MAT"&amp;"CH(player, Availability!$1:$1, 0))))), ""R"")"),0.0)</f>
        <v>0</v>
      </c>
      <c r="C31" s="120">
        <f t="shared" si="1"/>
        <v>1</v>
      </c>
      <c r="D31" s="119" t="str">
        <f>IFERROR(__xludf.DUMMYFUNCTION("SPARKLINE(C31, {""charttype"", ""bar""; ""max"", 1; ""color1"", IF(C31 &lt; 0.5, ""red"", IF(C31 &lt; 0.75, ""orange"", ""green""))})"),"")</f>
        <v/>
      </c>
      <c r="E31" s="121" t="str">
        <f>IFERROR(__xludf.DUMMYFUNCTION("IFERROR(TEXTJOIN("", "", TRUE, FILTER(FILTER($H$1:$K$1, $H$1:$K$1 &lt;&gt; """"), (MAP(FILTER($H$1:$K$1, $H$1:$K$1 &lt;&gt; """"), LAMBDA(player, IFNA(INDEX(Availability!$A:$AAA, MATCH($A31, Availability!$A:$A, 0), MATCH(player, Availability!$1:$1, 0))))) = ""U""))))"),"")</f>
        <v/>
      </c>
      <c r="F31" s="121" t="str">
        <f>IFERROR(__xludf.DUMMYFUNCTION("IFERROR(TEXTJOIN("", "", TRUE, FILTER(FILTER($H$1:$K$1, $H$1:$K$1 &lt;&gt; """"), (MAP(FILTER($H$1:$K$1, $H$1:$K$1 &lt;&gt; """"), LAMBDA(player, IFNA(INDEX(Availability!$A:$AAA, MATCH($A31, Availability!$A:$A, 0), MATCH(player, Availability!$1:$1, 0))))) = ""X""))))"),"")</f>
        <v/>
      </c>
      <c r="G31" s="121" t="str">
        <f>IFERROR(__xludf.DUMMYFUNCTION("IFERROR(TEXTJOIN("", "", TRUE, FILTER(FILTER($H$1:$K$1, $H$1:$K$1 &lt;&gt; """"), (MAP(FILTER($H$1:$K$1, $H$1:$K$1 &lt;&gt; """"), LAMBDA(player, IFNA(INDEX(Availability!$A:$AAA, MATCH($A31, Availability!$A:$A, 0), MATCH(player, Availability!$1:$1, 0))))) = ""R""))))"),"")</f>
        <v/>
      </c>
    </row>
    <row r="32">
      <c r="A32" s="118">
        <f t="shared" si="2"/>
        <v>45972</v>
      </c>
      <c r="B32" s="119">
        <f>IFERROR(__xludf.DUMMYFUNCTION("COUNTIFS(MAP(FILTER($H$1:$K$1, $H$1:$K$1 &lt;&gt; """"), LAMBDA(player, IFNA(INDEX(Availability!$A:$AAA, MATCH($A32, Availability!$A:$A, 0), MATCH(player, Availability!$1:$1, 0))))), ""X"") + COUNTIFS(MAP(FILTER($H$1:$K$1, $H$1:$K$1 &lt;&gt; """"), LAMBDA(player, IFN"&amp;"A(INDEX(Availability!$A:$AAA, MATCH($A32, Availability!$A:$A, 0), MATCH(player, Availability!$1:$1, 0))))), ""U"") + COUNTIFS(MAP(FILTER($H$1:$K$1, $H$1:$K$1 &lt;&gt; """"), LAMBDA(player, IFNA(INDEX(Availability!$A:$AAA, MATCH($A32, Availability!$A:$A, 0), MAT"&amp;"CH(player, Availability!$1:$1, 0))))), ""R"")"),1.0)</f>
        <v>1</v>
      </c>
      <c r="C32" s="120">
        <f t="shared" si="1"/>
        <v>0.75</v>
      </c>
      <c r="D32" s="119" t="str">
        <f>IFERROR(__xludf.DUMMYFUNCTION("SPARKLINE(C32, {""charttype"", ""bar""; ""max"", 1; ""color1"", IF(C32 &lt; 0.5, ""red"", IF(C32 &lt; 0.75, ""orange"", ""green""))})"),"")</f>
        <v/>
      </c>
      <c r="E32" s="121" t="str">
        <f>IFERROR(__xludf.DUMMYFUNCTION("IFERROR(TEXTJOIN("", "", TRUE, FILTER(FILTER($H$1:$K$1, $H$1:$K$1 &lt;&gt; """"), (MAP(FILTER($H$1:$K$1, $H$1:$K$1 &lt;&gt; """"), LAMBDA(player, IFNA(INDEX(Availability!$A:$AAA, MATCH($A32, Availability!$A:$A, 0), MATCH(player, Availability!$1:$1, 0))))) = ""U""))))"),"Robbie Frost")</f>
        <v>Robbie Frost</v>
      </c>
      <c r="F32" s="121" t="str">
        <f>IFERROR(__xludf.DUMMYFUNCTION("IFERROR(TEXTJOIN("", "", TRUE, FILTER(FILTER($H$1:$K$1, $H$1:$K$1 &lt;&gt; """"), (MAP(FILTER($H$1:$K$1, $H$1:$K$1 &lt;&gt; """"), LAMBDA(player, IFNA(INDEX(Availability!$A:$AAA, MATCH($A32, Availability!$A:$A, 0), MATCH(player, Availability!$1:$1, 0))))) = ""X""))))"),"")</f>
        <v/>
      </c>
      <c r="G32" s="121" t="str">
        <f>IFERROR(__xludf.DUMMYFUNCTION("IFERROR(TEXTJOIN("", "", TRUE, FILTER(FILTER($H$1:$K$1, $H$1:$K$1 &lt;&gt; """"), (MAP(FILTER($H$1:$K$1, $H$1:$K$1 &lt;&gt; """"), LAMBDA(player, IFNA(INDEX(Availability!$A:$AAA, MATCH($A32, Availability!$A:$A, 0), MATCH(player, Availability!$1:$1, 0))))) = ""R""))))"),"")</f>
        <v/>
      </c>
    </row>
    <row r="33">
      <c r="A33" s="118">
        <f t="shared" si="2"/>
        <v>45973</v>
      </c>
      <c r="B33" s="119">
        <f>IFERROR(__xludf.DUMMYFUNCTION("COUNTIFS(MAP(FILTER($H$1:$K$1, $H$1:$K$1 &lt;&gt; """"), LAMBDA(player, IFNA(INDEX(Availability!$A:$AAA, MATCH($A33, Availability!$A:$A, 0), MATCH(player, Availability!$1:$1, 0))))), ""X"") + COUNTIFS(MAP(FILTER($H$1:$K$1, $H$1:$K$1 &lt;&gt; """"), LAMBDA(player, IFN"&amp;"A(INDEX(Availability!$A:$AAA, MATCH($A33, Availability!$A:$A, 0), MATCH(player, Availability!$1:$1, 0))))), ""U"") + COUNTIFS(MAP(FILTER($H$1:$K$1, $H$1:$K$1 &lt;&gt; """"), LAMBDA(player, IFNA(INDEX(Availability!$A:$AAA, MATCH($A33, Availability!$A:$A, 0), MAT"&amp;"CH(player, Availability!$1:$1, 0))))), ""R"")"),2.0)</f>
        <v>2</v>
      </c>
      <c r="C33" s="120">
        <f t="shared" si="1"/>
        <v>0.5</v>
      </c>
      <c r="D33" s="119" t="str">
        <f>IFERROR(__xludf.DUMMYFUNCTION("SPARKLINE(C33, {""charttype"", ""bar""; ""max"", 1; ""color1"", IF(C33 &lt; 0.5, ""red"", IF(C33 &lt; 0.75, ""orange"", ""green""))})"),"")</f>
        <v/>
      </c>
      <c r="E33" s="121" t="str">
        <f>IFERROR(__xludf.DUMMYFUNCTION("IFERROR(TEXTJOIN("", "", TRUE, FILTER(FILTER($H$1:$K$1, $H$1:$K$1 &lt;&gt; """"), (MAP(FILTER($H$1:$K$1, $H$1:$K$1 &lt;&gt; """"), LAMBDA(player, IFNA(INDEX(Availability!$A:$AAA, MATCH($A33, Availability!$A:$A, 0), MATCH(player, Availability!$1:$1, 0))))) = ""U""))))"),"Robbie Frost, Kate Frost")</f>
        <v>Robbie Frost, Kate Frost</v>
      </c>
      <c r="F33" s="121" t="str">
        <f>IFERROR(__xludf.DUMMYFUNCTION("IFERROR(TEXTJOIN("", "", TRUE, FILTER(FILTER($H$1:$K$1, $H$1:$K$1 &lt;&gt; """"), (MAP(FILTER($H$1:$K$1, $H$1:$K$1 &lt;&gt; """"), LAMBDA(player, IFNA(INDEX(Availability!$A:$AAA, MATCH($A33, Availability!$A:$A, 0), MATCH(player, Availability!$1:$1, 0))))) = ""X""))))"),"")</f>
        <v/>
      </c>
      <c r="G33" s="121" t="str">
        <f>IFERROR(__xludf.DUMMYFUNCTION("IFERROR(TEXTJOIN("", "", TRUE, FILTER(FILTER($H$1:$K$1, $H$1:$K$1 &lt;&gt; """"), (MAP(FILTER($H$1:$K$1, $H$1:$K$1 &lt;&gt; """"), LAMBDA(player, IFNA(INDEX(Availability!$A:$AAA, MATCH($A33, Availability!$A:$A, 0), MATCH(player, Availability!$1:$1, 0))))) = ""R""))))"),"")</f>
        <v/>
      </c>
    </row>
    <row r="34">
      <c r="A34" s="118">
        <f t="shared" si="2"/>
        <v>45974</v>
      </c>
      <c r="B34" s="119">
        <f>IFERROR(__xludf.DUMMYFUNCTION("COUNTIFS(MAP(FILTER($H$1:$K$1, $H$1:$K$1 &lt;&gt; """"), LAMBDA(player, IFNA(INDEX(Availability!$A:$AAA, MATCH($A34, Availability!$A:$A, 0), MATCH(player, Availability!$1:$1, 0))))), ""X"") + COUNTIFS(MAP(FILTER($H$1:$K$1, $H$1:$K$1 &lt;&gt; """"), LAMBDA(player, IFN"&amp;"A(INDEX(Availability!$A:$AAA, MATCH($A34, Availability!$A:$A, 0), MATCH(player, Availability!$1:$1, 0))))), ""U"") + COUNTIFS(MAP(FILTER($H$1:$K$1, $H$1:$K$1 &lt;&gt; """"), LAMBDA(player, IFNA(INDEX(Availability!$A:$AAA, MATCH($A34, Availability!$A:$A, 0), MAT"&amp;"CH(player, Availability!$1:$1, 0))))), ""R"")"),2.0)</f>
        <v>2</v>
      </c>
      <c r="C34" s="120">
        <f t="shared" si="1"/>
        <v>0.5</v>
      </c>
      <c r="D34" s="119" t="str">
        <f>IFERROR(__xludf.DUMMYFUNCTION("SPARKLINE(C34, {""charttype"", ""bar""; ""max"", 1; ""color1"", IF(C34 &lt; 0.5, ""red"", IF(C34 &lt; 0.75, ""orange"", ""green""))})"),"")</f>
        <v/>
      </c>
      <c r="E34" s="121" t="str">
        <f>IFERROR(__xludf.DUMMYFUNCTION("IFERROR(TEXTJOIN("", "", TRUE, FILTER(FILTER($H$1:$K$1, $H$1:$K$1 &lt;&gt; """"), (MAP(FILTER($H$1:$K$1, $H$1:$K$1 &lt;&gt; """"), LAMBDA(player, IFNA(INDEX(Availability!$A:$AAA, MATCH($A34, Availability!$A:$A, 0), MATCH(player, Availability!$1:$1, 0))))) = ""U""))))"),"Robbie Frost, Kate Frost")</f>
        <v>Robbie Frost, Kate Frost</v>
      </c>
      <c r="F34" s="121" t="str">
        <f>IFERROR(__xludf.DUMMYFUNCTION("IFERROR(TEXTJOIN("", "", TRUE, FILTER(FILTER($H$1:$K$1, $H$1:$K$1 &lt;&gt; """"), (MAP(FILTER($H$1:$K$1, $H$1:$K$1 &lt;&gt; """"), LAMBDA(player, IFNA(INDEX(Availability!$A:$AAA, MATCH($A34, Availability!$A:$A, 0), MATCH(player, Availability!$1:$1, 0))))) = ""X""))))"),"")</f>
        <v/>
      </c>
      <c r="G34" s="121" t="str">
        <f>IFERROR(__xludf.DUMMYFUNCTION("IFERROR(TEXTJOIN("", "", TRUE, FILTER(FILTER($H$1:$K$1, $H$1:$K$1 &lt;&gt; """"), (MAP(FILTER($H$1:$K$1, $H$1:$K$1 &lt;&gt; """"), LAMBDA(player, IFNA(INDEX(Availability!$A:$AAA, MATCH($A34, Availability!$A:$A, 0), MATCH(player, Availability!$1:$1, 0))))) = ""R""))))"),"")</f>
        <v/>
      </c>
    </row>
    <row r="35">
      <c r="A35" s="118">
        <f t="shared" si="2"/>
        <v>45975</v>
      </c>
      <c r="B35" s="119">
        <f>IFERROR(__xludf.DUMMYFUNCTION("COUNTIFS(MAP(FILTER($H$1:$K$1, $H$1:$K$1 &lt;&gt; """"), LAMBDA(player, IFNA(INDEX(Availability!$A:$AAA, MATCH($A35, Availability!$A:$A, 0), MATCH(player, Availability!$1:$1, 0))))), ""X"") + COUNTIFS(MAP(FILTER($H$1:$K$1, $H$1:$K$1 &lt;&gt; """"), LAMBDA(player, IFN"&amp;"A(INDEX(Availability!$A:$AAA, MATCH($A35, Availability!$A:$A, 0), MATCH(player, Availability!$1:$1, 0))))), ""U"") + COUNTIFS(MAP(FILTER($H$1:$K$1, $H$1:$K$1 &lt;&gt; """"), LAMBDA(player, IFNA(INDEX(Availability!$A:$AAA, MATCH($A35, Availability!$A:$A, 0), MAT"&amp;"CH(player, Availability!$1:$1, 0))))), ""R"")"),2.0)</f>
        <v>2</v>
      </c>
      <c r="C35" s="120">
        <f t="shared" si="1"/>
        <v>0.5</v>
      </c>
      <c r="D35" s="119" t="str">
        <f>IFERROR(__xludf.DUMMYFUNCTION("SPARKLINE(C35, {""charttype"", ""bar""; ""max"", 1; ""color1"", IF(C35 &lt; 0.5, ""red"", IF(C35 &lt; 0.75, ""orange"", ""green""))})"),"")</f>
        <v/>
      </c>
      <c r="E35" s="121" t="str">
        <f>IFERROR(__xludf.DUMMYFUNCTION("IFERROR(TEXTJOIN("", "", TRUE, FILTER(FILTER($H$1:$K$1, $H$1:$K$1 &lt;&gt; """"), (MAP(FILTER($H$1:$K$1, $H$1:$K$1 &lt;&gt; """"), LAMBDA(player, IFNA(INDEX(Availability!$A:$AAA, MATCH($A35, Availability!$A:$A, 0), MATCH(player, Availability!$1:$1, 0))))) = ""U""))))"),"Robbie Frost, Kate Frost")</f>
        <v>Robbie Frost, Kate Frost</v>
      </c>
      <c r="F35" s="121" t="str">
        <f>IFERROR(__xludf.DUMMYFUNCTION("IFERROR(TEXTJOIN("", "", TRUE, FILTER(FILTER($H$1:$K$1, $H$1:$K$1 &lt;&gt; """"), (MAP(FILTER($H$1:$K$1, $H$1:$K$1 &lt;&gt; """"), LAMBDA(player, IFNA(INDEX(Availability!$A:$AAA, MATCH($A35, Availability!$A:$A, 0), MATCH(player, Availability!$1:$1, 0))))) = ""X""))))"),"")</f>
        <v/>
      </c>
      <c r="G35" s="121" t="str">
        <f>IFERROR(__xludf.DUMMYFUNCTION("IFERROR(TEXTJOIN("", "", TRUE, FILTER(FILTER($H$1:$K$1, $H$1:$K$1 &lt;&gt; """"), (MAP(FILTER($H$1:$K$1, $H$1:$K$1 &lt;&gt; """"), LAMBDA(player, IFNA(INDEX(Availability!$A:$AAA, MATCH($A35, Availability!$A:$A, 0), MATCH(player, Availability!$1:$1, 0))))) = ""R""))))"),"")</f>
        <v/>
      </c>
    </row>
    <row r="36">
      <c r="A36" s="118">
        <f t="shared" si="2"/>
        <v>45976</v>
      </c>
      <c r="B36" s="119">
        <f>IFERROR(__xludf.DUMMYFUNCTION("COUNTIFS(MAP(FILTER($H$1:$K$1, $H$1:$K$1 &lt;&gt; """"), LAMBDA(player, IFNA(INDEX(Availability!$A:$AAA, MATCH($A36, Availability!$A:$A, 0), MATCH(player, Availability!$1:$1, 0))))), ""X"") + COUNTIFS(MAP(FILTER($H$1:$K$1, $H$1:$K$1 &lt;&gt; """"), LAMBDA(player, IFN"&amp;"A(INDEX(Availability!$A:$AAA, MATCH($A36, Availability!$A:$A, 0), MATCH(player, Availability!$1:$1, 0))))), ""U"") + COUNTIFS(MAP(FILTER($H$1:$K$1, $H$1:$K$1 &lt;&gt; """"), LAMBDA(player, IFNA(INDEX(Availability!$A:$AAA, MATCH($A36, Availability!$A:$A, 0), MAT"&amp;"CH(player, Availability!$1:$1, 0))))), ""R"")"),2.0)</f>
        <v>2</v>
      </c>
      <c r="C36" s="120">
        <f t="shared" si="1"/>
        <v>0.5</v>
      </c>
      <c r="D36" s="119" t="str">
        <f>IFERROR(__xludf.DUMMYFUNCTION("SPARKLINE(C36, {""charttype"", ""bar""; ""max"", 1; ""color1"", IF(C36 &lt; 0.5, ""red"", IF(C36 &lt; 0.75, ""orange"", ""green""))})"),"")</f>
        <v/>
      </c>
      <c r="E36" s="121" t="str">
        <f>IFERROR(__xludf.DUMMYFUNCTION("IFERROR(TEXTJOIN("", "", TRUE, FILTER(FILTER($H$1:$K$1, $H$1:$K$1 &lt;&gt; """"), (MAP(FILTER($H$1:$K$1, $H$1:$K$1 &lt;&gt; """"), LAMBDA(player, IFNA(INDEX(Availability!$A:$AAA, MATCH($A36, Availability!$A:$A, 0), MATCH(player, Availability!$1:$1, 0))))) = ""U""))))"),"Robbie Frost, Kate Frost")</f>
        <v>Robbie Frost, Kate Frost</v>
      </c>
      <c r="F36" s="121" t="str">
        <f>IFERROR(__xludf.DUMMYFUNCTION("IFERROR(TEXTJOIN("", "", TRUE, FILTER(FILTER($H$1:$K$1, $H$1:$K$1 &lt;&gt; """"), (MAP(FILTER($H$1:$K$1, $H$1:$K$1 &lt;&gt; """"), LAMBDA(player, IFNA(INDEX(Availability!$A:$AAA, MATCH($A36, Availability!$A:$A, 0), MATCH(player, Availability!$1:$1, 0))))) = ""X""))))"),"")</f>
        <v/>
      </c>
      <c r="G36" s="121" t="str">
        <f>IFERROR(__xludf.DUMMYFUNCTION("IFERROR(TEXTJOIN("", "", TRUE, FILTER(FILTER($H$1:$K$1, $H$1:$K$1 &lt;&gt; """"), (MAP(FILTER($H$1:$K$1, $H$1:$K$1 &lt;&gt; """"), LAMBDA(player, IFNA(INDEX(Availability!$A:$AAA, MATCH($A36, Availability!$A:$A, 0), MATCH(player, Availability!$1:$1, 0))))) = ""R""))))"),"")</f>
        <v/>
      </c>
    </row>
    <row r="37">
      <c r="A37" s="118">
        <f t="shared" si="2"/>
        <v>45977</v>
      </c>
      <c r="B37" s="119">
        <f>IFERROR(__xludf.DUMMYFUNCTION("COUNTIFS(MAP(FILTER($H$1:$K$1, $H$1:$K$1 &lt;&gt; """"), LAMBDA(player, IFNA(INDEX(Availability!$A:$AAA, MATCH($A37, Availability!$A:$A, 0), MATCH(player, Availability!$1:$1, 0))))), ""X"") + COUNTIFS(MAP(FILTER($H$1:$K$1, $H$1:$K$1 &lt;&gt; """"), LAMBDA(player, IFN"&amp;"A(INDEX(Availability!$A:$AAA, MATCH($A37, Availability!$A:$A, 0), MATCH(player, Availability!$1:$1, 0))))), ""U"") + COUNTIFS(MAP(FILTER($H$1:$K$1, $H$1:$K$1 &lt;&gt; """"), LAMBDA(player, IFNA(INDEX(Availability!$A:$AAA, MATCH($A37, Availability!$A:$A, 0), MAT"&amp;"CH(player, Availability!$1:$1, 0))))), ""R"")"),1.0)</f>
        <v>1</v>
      </c>
      <c r="C37" s="120">
        <f t="shared" si="1"/>
        <v>0.75</v>
      </c>
      <c r="D37" s="119" t="str">
        <f>IFERROR(__xludf.DUMMYFUNCTION("SPARKLINE(C37, {""charttype"", ""bar""; ""max"", 1; ""color1"", IF(C37 &lt; 0.5, ""red"", IF(C37 &lt; 0.75, ""orange"", ""green""))})"),"")</f>
        <v/>
      </c>
      <c r="E37" s="121" t="str">
        <f>IFERROR(__xludf.DUMMYFUNCTION("IFERROR(TEXTJOIN("", "", TRUE, FILTER(FILTER($H$1:$K$1, $H$1:$K$1 &lt;&gt; """"), (MAP(FILTER($H$1:$K$1, $H$1:$K$1 &lt;&gt; """"), LAMBDA(player, IFNA(INDEX(Availability!$A:$AAA, MATCH($A37, Availability!$A:$A, 0), MATCH(player, Availability!$1:$1, 0))))) = ""U""))))"),"Robbie Frost")</f>
        <v>Robbie Frost</v>
      </c>
      <c r="F37" s="121" t="str">
        <f>IFERROR(__xludf.DUMMYFUNCTION("IFERROR(TEXTJOIN("", "", TRUE, FILTER(FILTER($H$1:$K$1, $H$1:$K$1 &lt;&gt; """"), (MAP(FILTER($H$1:$K$1, $H$1:$K$1 &lt;&gt; """"), LAMBDA(player, IFNA(INDEX(Availability!$A:$AAA, MATCH($A37, Availability!$A:$A, 0), MATCH(player, Availability!$1:$1, 0))))) = ""X""))))"),"")</f>
        <v/>
      </c>
      <c r="G37" s="121" t="str">
        <f>IFERROR(__xludf.DUMMYFUNCTION("IFERROR(TEXTJOIN("", "", TRUE, FILTER(FILTER($H$1:$K$1, $H$1:$K$1 &lt;&gt; """"), (MAP(FILTER($H$1:$K$1, $H$1:$K$1 &lt;&gt; """"), LAMBDA(player, IFNA(INDEX(Availability!$A:$AAA, MATCH($A37, Availability!$A:$A, 0), MATCH(player, Availability!$1:$1, 0))))) = ""R""))))"),"")</f>
        <v/>
      </c>
    </row>
    <row r="38">
      <c r="A38" s="118">
        <f t="shared" si="2"/>
        <v>45978</v>
      </c>
      <c r="B38" s="119">
        <f>IFERROR(__xludf.DUMMYFUNCTION("COUNTIFS(MAP(FILTER($H$1:$K$1, $H$1:$K$1 &lt;&gt; """"), LAMBDA(player, IFNA(INDEX(Availability!$A:$AAA, MATCH($A38, Availability!$A:$A, 0), MATCH(player, Availability!$1:$1, 0))))), ""X"") + COUNTIFS(MAP(FILTER($H$1:$K$1, $H$1:$K$1 &lt;&gt; """"), LAMBDA(player, IFN"&amp;"A(INDEX(Availability!$A:$AAA, MATCH($A38, Availability!$A:$A, 0), MATCH(player, Availability!$1:$1, 0))))), ""U"") + COUNTIFS(MAP(FILTER($H$1:$K$1, $H$1:$K$1 &lt;&gt; """"), LAMBDA(player, IFNA(INDEX(Availability!$A:$AAA, MATCH($A38, Availability!$A:$A, 0), MAT"&amp;"CH(player, Availability!$1:$1, 0))))), ""R"")"),1.0)</f>
        <v>1</v>
      </c>
      <c r="C38" s="120">
        <f t="shared" si="1"/>
        <v>0.75</v>
      </c>
      <c r="D38" s="119" t="str">
        <f>IFERROR(__xludf.DUMMYFUNCTION("SPARKLINE(C38, {""charttype"", ""bar""; ""max"", 1; ""color1"", IF(C38 &lt; 0.5, ""red"", IF(C38 &lt; 0.75, ""orange"", ""green""))})"),"")</f>
        <v/>
      </c>
      <c r="E38" s="121" t="str">
        <f>IFERROR(__xludf.DUMMYFUNCTION("IFERROR(TEXTJOIN("", "", TRUE, FILTER(FILTER($H$1:$K$1, $H$1:$K$1 &lt;&gt; """"), (MAP(FILTER($H$1:$K$1, $H$1:$K$1 &lt;&gt; """"), LAMBDA(player, IFNA(INDEX(Availability!$A:$AAA, MATCH($A38, Availability!$A:$A, 0), MATCH(player, Availability!$1:$1, 0))))) = ""U""))))"),"Kate Frost")</f>
        <v>Kate Frost</v>
      </c>
      <c r="F38" s="121" t="str">
        <f>IFERROR(__xludf.DUMMYFUNCTION("IFERROR(TEXTJOIN("", "", TRUE, FILTER(FILTER($H$1:$K$1, $H$1:$K$1 &lt;&gt; """"), (MAP(FILTER($H$1:$K$1, $H$1:$K$1 &lt;&gt; """"), LAMBDA(player, IFNA(INDEX(Availability!$A:$AAA, MATCH($A38, Availability!$A:$A, 0), MATCH(player, Availability!$1:$1, 0))))) = ""X""))))"),"")</f>
        <v/>
      </c>
      <c r="G38" s="121" t="str">
        <f>IFERROR(__xludf.DUMMYFUNCTION("IFERROR(TEXTJOIN("", "", TRUE, FILTER(FILTER($H$1:$K$1, $H$1:$K$1 &lt;&gt; """"), (MAP(FILTER($H$1:$K$1, $H$1:$K$1 &lt;&gt; """"), LAMBDA(player, IFNA(INDEX(Availability!$A:$AAA, MATCH($A38, Availability!$A:$A, 0), MATCH(player, Availability!$1:$1, 0))))) = ""R""))))"),"")</f>
        <v/>
      </c>
    </row>
    <row r="39">
      <c r="A39" s="118">
        <f t="shared" si="2"/>
        <v>45979</v>
      </c>
      <c r="B39" s="119">
        <f>IFERROR(__xludf.DUMMYFUNCTION("COUNTIFS(MAP(FILTER($H$1:$K$1, $H$1:$K$1 &lt;&gt; """"), LAMBDA(player, IFNA(INDEX(Availability!$A:$AAA, MATCH($A39, Availability!$A:$A, 0), MATCH(player, Availability!$1:$1, 0))))), ""X"") + COUNTIFS(MAP(FILTER($H$1:$K$1, $H$1:$K$1 &lt;&gt; """"), LAMBDA(player, IFN"&amp;"A(INDEX(Availability!$A:$AAA, MATCH($A39, Availability!$A:$A, 0), MATCH(player, Availability!$1:$1, 0))))), ""U"") + COUNTIFS(MAP(FILTER($H$1:$K$1, $H$1:$K$1 &lt;&gt; """"), LAMBDA(player, IFNA(INDEX(Availability!$A:$AAA, MATCH($A39, Availability!$A:$A, 0), MAT"&amp;"CH(player, Availability!$1:$1, 0))))), ""R"")"),1.0)</f>
        <v>1</v>
      </c>
      <c r="C39" s="120">
        <f t="shared" si="1"/>
        <v>0.75</v>
      </c>
      <c r="D39" s="119" t="str">
        <f>IFERROR(__xludf.DUMMYFUNCTION("SPARKLINE(C39, {""charttype"", ""bar""; ""max"", 1; ""color1"", IF(C39 &lt; 0.5, ""red"", IF(C39 &lt; 0.75, ""orange"", ""green""))})"),"")</f>
        <v/>
      </c>
      <c r="E39" s="121" t="str">
        <f>IFERROR(__xludf.DUMMYFUNCTION("IFERROR(TEXTJOIN("", "", TRUE, FILTER(FILTER($H$1:$K$1, $H$1:$K$1 &lt;&gt; """"), (MAP(FILTER($H$1:$K$1, $H$1:$K$1 &lt;&gt; """"), LAMBDA(player, IFNA(INDEX(Availability!$A:$AAA, MATCH($A39, Availability!$A:$A, 0), MATCH(player, Availability!$1:$1, 0))))) = ""U""))))"),"Kate Frost")</f>
        <v>Kate Frost</v>
      </c>
      <c r="F39" s="121" t="str">
        <f>IFERROR(__xludf.DUMMYFUNCTION("IFERROR(TEXTJOIN("", "", TRUE, FILTER(FILTER($H$1:$K$1, $H$1:$K$1 &lt;&gt; """"), (MAP(FILTER($H$1:$K$1, $H$1:$K$1 &lt;&gt; """"), LAMBDA(player, IFNA(INDEX(Availability!$A:$AAA, MATCH($A39, Availability!$A:$A, 0), MATCH(player, Availability!$1:$1, 0))))) = ""X""))))"),"")</f>
        <v/>
      </c>
      <c r="G39" s="121" t="str">
        <f>IFERROR(__xludf.DUMMYFUNCTION("IFERROR(TEXTJOIN("", "", TRUE, FILTER(FILTER($H$1:$K$1, $H$1:$K$1 &lt;&gt; """"), (MAP(FILTER($H$1:$K$1, $H$1:$K$1 &lt;&gt; """"), LAMBDA(player, IFNA(INDEX(Availability!$A:$AAA, MATCH($A39, Availability!$A:$A, 0), MATCH(player, Availability!$1:$1, 0))))) = ""R""))))"),"")</f>
        <v/>
      </c>
    </row>
    <row r="40">
      <c r="A40" s="118">
        <f t="shared" si="2"/>
        <v>45980</v>
      </c>
      <c r="B40" s="119">
        <f>IFERROR(__xludf.DUMMYFUNCTION("COUNTIFS(MAP(FILTER($H$1:$K$1, $H$1:$K$1 &lt;&gt; """"), LAMBDA(player, IFNA(INDEX(Availability!$A:$AAA, MATCH($A40, Availability!$A:$A, 0), MATCH(player, Availability!$1:$1, 0))))), ""X"") + COUNTIFS(MAP(FILTER($H$1:$K$1, $H$1:$K$1 &lt;&gt; """"), LAMBDA(player, IFN"&amp;"A(INDEX(Availability!$A:$AAA, MATCH($A40, Availability!$A:$A, 0), MATCH(player, Availability!$1:$1, 0))))), ""U"") + COUNTIFS(MAP(FILTER($H$1:$K$1, $H$1:$K$1 &lt;&gt; """"), LAMBDA(player, IFNA(INDEX(Availability!$A:$AAA, MATCH($A40, Availability!$A:$A, 0), MAT"&amp;"CH(player, Availability!$1:$1, 0))))), ""R"")"),2.0)</f>
        <v>2</v>
      </c>
      <c r="C40" s="120">
        <f t="shared" si="1"/>
        <v>0.5</v>
      </c>
      <c r="D40" s="119" t="str">
        <f>IFERROR(__xludf.DUMMYFUNCTION("SPARKLINE(C40, {""charttype"", ""bar""; ""max"", 1; ""color1"", IF(C40 &lt; 0.5, ""red"", IF(C40 &lt; 0.75, ""orange"", ""green""))})"),"")</f>
        <v/>
      </c>
      <c r="E40" s="121" t="str">
        <f>IFERROR(__xludf.DUMMYFUNCTION("IFERROR(TEXTJOIN("", "", TRUE, FILTER(FILTER($H$1:$K$1, $H$1:$K$1 &lt;&gt; """"), (MAP(FILTER($H$1:$K$1, $H$1:$K$1 &lt;&gt; """"), LAMBDA(player, IFNA(INDEX(Availability!$A:$AAA, MATCH($A40, Availability!$A:$A, 0), MATCH(player, Availability!$1:$1, 0))))) = ""U""))))"),"Kate Frost, Grace Webster")</f>
        <v>Kate Frost, Grace Webster</v>
      </c>
      <c r="F40" s="121" t="str">
        <f>IFERROR(__xludf.DUMMYFUNCTION("IFERROR(TEXTJOIN("", "", TRUE, FILTER(FILTER($H$1:$K$1, $H$1:$K$1 &lt;&gt; """"), (MAP(FILTER($H$1:$K$1, $H$1:$K$1 &lt;&gt; """"), LAMBDA(player, IFNA(INDEX(Availability!$A:$AAA, MATCH($A40, Availability!$A:$A, 0), MATCH(player, Availability!$1:$1, 0))))) = ""X""))))"),"")</f>
        <v/>
      </c>
      <c r="G40" s="121" t="str">
        <f>IFERROR(__xludf.DUMMYFUNCTION("IFERROR(TEXTJOIN("", "", TRUE, FILTER(FILTER($H$1:$K$1, $H$1:$K$1 &lt;&gt; """"), (MAP(FILTER($H$1:$K$1, $H$1:$K$1 &lt;&gt; """"), LAMBDA(player, IFNA(INDEX(Availability!$A:$AAA, MATCH($A40, Availability!$A:$A, 0), MATCH(player, Availability!$1:$1, 0))))) = ""R""))))"),"")</f>
        <v/>
      </c>
    </row>
    <row r="41">
      <c r="A41" s="118">
        <f t="shared" si="2"/>
        <v>45981</v>
      </c>
      <c r="B41" s="119">
        <f>IFERROR(__xludf.DUMMYFUNCTION("COUNTIFS(MAP(FILTER($H$1:$K$1, $H$1:$K$1 &lt;&gt; """"), LAMBDA(player, IFNA(INDEX(Availability!$A:$AAA, MATCH($A41, Availability!$A:$A, 0), MATCH(player, Availability!$1:$1, 0))))), ""X"") + COUNTIFS(MAP(FILTER($H$1:$K$1, $H$1:$K$1 &lt;&gt; """"), LAMBDA(player, IFN"&amp;"A(INDEX(Availability!$A:$AAA, MATCH($A41, Availability!$A:$A, 0), MATCH(player, Availability!$1:$1, 0))))), ""U"") + COUNTIFS(MAP(FILTER($H$1:$K$1, $H$1:$K$1 &lt;&gt; """"), LAMBDA(player, IFNA(INDEX(Availability!$A:$AAA, MATCH($A41, Availability!$A:$A, 0), MAT"&amp;"CH(player, Availability!$1:$1, 0))))), ""R"")"),1.0)</f>
        <v>1</v>
      </c>
      <c r="C41" s="120">
        <f t="shared" si="1"/>
        <v>0.75</v>
      </c>
      <c r="D41" s="119" t="str">
        <f>IFERROR(__xludf.DUMMYFUNCTION("SPARKLINE(C41, {""charttype"", ""bar""; ""max"", 1; ""color1"", IF(C41 &lt; 0.5, ""red"", IF(C41 &lt; 0.75, ""orange"", ""green""))})"),"")</f>
        <v/>
      </c>
      <c r="E41" s="121" t="str">
        <f>IFERROR(__xludf.DUMMYFUNCTION("IFERROR(TEXTJOIN("", "", TRUE, FILTER(FILTER($H$1:$K$1, $H$1:$K$1 &lt;&gt; """"), (MAP(FILTER($H$1:$K$1, $H$1:$K$1 &lt;&gt; """"), LAMBDA(player, IFNA(INDEX(Availability!$A:$AAA, MATCH($A41, Availability!$A:$A, 0), MATCH(player, Availability!$1:$1, 0))))) = ""U""))))"),"Grace Webster")</f>
        <v>Grace Webster</v>
      </c>
      <c r="F41" s="121" t="str">
        <f>IFERROR(__xludf.DUMMYFUNCTION("IFERROR(TEXTJOIN("", "", TRUE, FILTER(FILTER($H$1:$K$1, $H$1:$K$1 &lt;&gt; """"), (MAP(FILTER($H$1:$K$1, $H$1:$K$1 &lt;&gt; """"), LAMBDA(player, IFNA(INDEX(Availability!$A:$AAA, MATCH($A41, Availability!$A:$A, 0), MATCH(player, Availability!$1:$1, 0))))) = ""X""))))"),"")</f>
        <v/>
      </c>
      <c r="G41" s="121" t="str">
        <f>IFERROR(__xludf.DUMMYFUNCTION("IFERROR(TEXTJOIN("", "", TRUE, FILTER(FILTER($H$1:$K$1, $H$1:$K$1 &lt;&gt; """"), (MAP(FILTER($H$1:$K$1, $H$1:$K$1 &lt;&gt; """"), LAMBDA(player, IFNA(INDEX(Availability!$A:$AAA, MATCH($A41, Availability!$A:$A, 0), MATCH(player, Availability!$1:$1, 0))))) = ""R""))))"),"")</f>
        <v/>
      </c>
    </row>
    <row r="42">
      <c r="A42" s="118">
        <f t="shared" si="2"/>
        <v>45982</v>
      </c>
      <c r="B42" s="119">
        <f>IFERROR(__xludf.DUMMYFUNCTION("COUNTIFS(MAP(FILTER($H$1:$K$1, $H$1:$K$1 &lt;&gt; """"), LAMBDA(player, IFNA(INDEX(Availability!$A:$AAA, MATCH($A42, Availability!$A:$A, 0), MATCH(player, Availability!$1:$1, 0))))), ""X"") + COUNTIFS(MAP(FILTER($H$1:$K$1, $H$1:$K$1 &lt;&gt; """"), LAMBDA(player, IFN"&amp;"A(INDEX(Availability!$A:$AAA, MATCH($A42, Availability!$A:$A, 0), MATCH(player, Availability!$1:$1, 0))))), ""U"") + COUNTIFS(MAP(FILTER($H$1:$K$1, $H$1:$K$1 &lt;&gt; """"), LAMBDA(player, IFNA(INDEX(Availability!$A:$AAA, MATCH($A42, Availability!$A:$A, 0), MAT"&amp;"CH(player, Availability!$1:$1, 0))))), ""R"")"),0.0)</f>
        <v>0</v>
      </c>
      <c r="C42" s="120">
        <f t="shared" si="1"/>
        <v>1</v>
      </c>
      <c r="D42" s="119" t="str">
        <f>IFERROR(__xludf.DUMMYFUNCTION("SPARKLINE(C42, {""charttype"", ""bar""; ""max"", 1; ""color1"", IF(C42 &lt; 0.5, ""red"", IF(C42 &lt; 0.75, ""orange"", ""green""))})"),"")</f>
        <v/>
      </c>
      <c r="E42" s="121" t="str">
        <f>IFERROR(__xludf.DUMMYFUNCTION("IFERROR(TEXTJOIN("", "", TRUE, FILTER(FILTER($H$1:$K$1, $H$1:$K$1 &lt;&gt; """"), (MAP(FILTER($H$1:$K$1, $H$1:$K$1 &lt;&gt; """"), LAMBDA(player, IFNA(INDEX(Availability!$A:$AAA, MATCH($A42, Availability!$A:$A, 0), MATCH(player, Availability!$1:$1, 0))))) = ""U""))))"),"")</f>
        <v/>
      </c>
      <c r="F42" s="121" t="str">
        <f>IFERROR(__xludf.DUMMYFUNCTION("IFERROR(TEXTJOIN("", "", TRUE, FILTER(FILTER($H$1:$K$1, $H$1:$K$1 &lt;&gt; """"), (MAP(FILTER($H$1:$K$1, $H$1:$K$1 &lt;&gt; """"), LAMBDA(player, IFNA(INDEX(Availability!$A:$AAA, MATCH($A42, Availability!$A:$A, 0), MATCH(player, Availability!$1:$1, 0))))) = ""X""))))"),"")</f>
        <v/>
      </c>
      <c r="G42" s="121" t="str">
        <f>IFERROR(__xludf.DUMMYFUNCTION("IFERROR(TEXTJOIN("", "", TRUE, FILTER(FILTER($H$1:$K$1, $H$1:$K$1 &lt;&gt; """"), (MAP(FILTER($H$1:$K$1, $H$1:$K$1 &lt;&gt; """"), LAMBDA(player, IFNA(INDEX(Availability!$A:$AAA, MATCH($A42, Availability!$A:$A, 0), MATCH(player, Availability!$1:$1, 0))))) = ""R""))))"),"")</f>
        <v/>
      </c>
    </row>
    <row r="43">
      <c r="A43" s="118">
        <f t="shared" si="2"/>
        <v>45983</v>
      </c>
      <c r="B43" s="119">
        <f>IFERROR(__xludf.DUMMYFUNCTION("COUNTIFS(MAP(FILTER($H$1:$K$1, $H$1:$K$1 &lt;&gt; """"), LAMBDA(player, IFNA(INDEX(Availability!$A:$AAA, MATCH($A43, Availability!$A:$A, 0), MATCH(player, Availability!$1:$1, 0))))), ""X"") + COUNTIFS(MAP(FILTER($H$1:$K$1, $H$1:$K$1 &lt;&gt; """"), LAMBDA(player, IFN"&amp;"A(INDEX(Availability!$A:$AAA, MATCH($A43, Availability!$A:$A, 0), MATCH(player, Availability!$1:$1, 0))))), ""U"") + COUNTIFS(MAP(FILTER($H$1:$K$1, $H$1:$K$1 &lt;&gt; """"), LAMBDA(player, IFNA(INDEX(Availability!$A:$AAA, MATCH($A43, Availability!$A:$A, 0), MAT"&amp;"CH(player, Availability!$1:$1, 0))))), ""R"")"),1.0)</f>
        <v>1</v>
      </c>
      <c r="C43" s="120">
        <f t="shared" si="1"/>
        <v>0.75</v>
      </c>
      <c r="D43" s="119" t="str">
        <f>IFERROR(__xludf.DUMMYFUNCTION("SPARKLINE(C43, {""charttype"", ""bar""; ""max"", 1; ""color1"", IF(C43 &lt; 0.5, ""red"", IF(C43 &lt; 0.75, ""orange"", ""green""))})"),"")</f>
        <v/>
      </c>
      <c r="E43" s="121" t="str">
        <f>IFERROR(__xludf.DUMMYFUNCTION("IFERROR(TEXTJOIN("", "", TRUE, FILTER(FILTER($H$1:$K$1, $H$1:$K$1 &lt;&gt; """"), (MAP(FILTER($H$1:$K$1, $H$1:$K$1 &lt;&gt; """"), LAMBDA(player, IFNA(INDEX(Availability!$A:$AAA, MATCH($A43, Availability!$A:$A, 0), MATCH(player, Availability!$1:$1, 0))))) = ""U""))))"),"")</f>
        <v/>
      </c>
      <c r="F43" s="121" t="str">
        <f>IFERROR(__xludf.DUMMYFUNCTION("IFERROR(TEXTJOIN("", "", TRUE, FILTER(FILTER($H$1:$K$1, $H$1:$K$1 &lt;&gt; """"), (MAP(FILTER($H$1:$K$1, $H$1:$K$1 &lt;&gt; """"), LAMBDA(player, IFNA(INDEX(Availability!$A:$AAA, MATCH($A43, Availability!$A:$A, 0), MATCH(player, Availability!$1:$1, 0))))) = ""X""))))"),"")</f>
        <v/>
      </c>
      <c r="G43" s="121" t="str">
        <f>IFERROR(__xludf.DUMMYFUNCTION("IFERROR(TEXTJOIN("", "", TRUE, FILTER(FILTER($H$1:$K$1, $H$1:$K$1 &lt;&gt; """"), (MAP(FILTER($H$1:$K$1, $H$1:$K$1 &lt;&gt; """"), LAMBDA(player, IFNA(INDEX(Availability!$A:$AAA, MATCH($A43, Availability!$A:$A, 0), MATCH(player, Availability!$1:$1, 0))))) = ""R""))))"),"Robbie Frost")</f>
        <v>Robbie Frost</v>
      </c>
    </row>
    <row r="44">
      <c r="A44" s="118">
        <f t="shared" si="2"/>
        <v>45984</v>
      </c>
      <c r="B44" s="119">
        <f>IFERROR(__xludf.DUMMYFUNCTION("COUNTIFS(MAP(FILTER($H$1:$K$1, $H$1:$K$1 &lt;&gt; """"), LAMBDA(player, IFNA(INDEX(Availability!$A:$AAA, MATCH($A44, Availability!$A:$A, 0), MATCH(player, Availability!$1:$1, 0))))), ""X"") + COUNTIFS(MAP(FILTER($H$1:$K$1, $H$1:$K$1 &lt;&gt; """"), LAMBDA(player, IFN"&amp;"A(INDEX(Availability!$A:$AAA, MATCH($A44, Availability!$A:$A, 0), MATCH(player, Availability!$1:$1, 0))))), ""U"") + COUNTIFS(MAP(FILTER($H$1:$K$1, $H$1:$K$1 &lt;&gt; """"), LAMBDA(player, IFNA(INDEX(Availability!$A:$AAA, MATCH($A44, Availability!$A:$A, 0), MAT"&amp;"CH(player, Availability!$1:$1, 0))))), ""R"")"),1.0)</f>
        <v>1</v>
      </c>
      <c r="C44" s="120">
        <f t="shared" si="1"/>
        <v>0.75</v>
      </c>
      <c r="D44" s="119" t="str">
        <f>IFERROR(__xludf.DUMMYFUNCTION("SPARKLINE(C44, {""charttype"", ""bar""; ""max"", 1; ""color1"", IF(C44 &lt; 0.5, ""red"", IF(C44 &lt; 0.75, ""orange"", ""green""))})"),"")</f>
        <v/>
      </c>
      <c r="E44" s="121" t="str">
        <f>IFERROR(__xludf.DUMMYFUNCTION("IFERROR(TEXTJOIN("", "", TRUE, FILTER(FILTER($H$1:$K$1, $H$1:$K$1 &lt;&gt; """"), (MAP(FILTER($H$1:$K$1, $H$1:$K$1 &lt;&gt; """"), LAMBDA(player, IFNA(INDEX(Availability!$A:$AAA, MATCH($A44, Availability!$A:$A, 0), MATCH(player, Availability!$1:$1, 0))))) = ""U""))))"),"")</f>
        <v/>
      </c>
      <c r="F44" s="121" t="str">
        <f>IFERROR(__xludf.DUMMYFUNCTION("IFERROR(TEXTJOIN("", "", TRUE, FILTER(FILTER($H$1:$K$1, $H$1:$K$1 &lt;&gt; """"), (MAP(FILTER($H$1:$K$1, $H$1:$K$1 &lt;&gt; """"), LAMBDA(player, IFNA(INDEX(Availability!$A:$AAA, MATCH($A44, Availability!$A:$A, 0), MATCH(player, Availability!$1:$1, 0))))) = ""X""))))"),"")</f>
        <v/>
      </c>
      <c r="G44" s="121" t="str">
        <f>IFERROR(__xludf.DUMMYFUNCTION("IFERROR(TEXTJOIN("", "", TRUE, FILTER(FILTER($H$1:$K$1, $H$1:$K$1 &lt;&gt; """"), (MAP(FILTER($H$1:$K$1, $H$1:$K$1 &lt;&gt; """"), LAMBDA(player, IFNA(INDEX(Availability!$A:$AAA, MATCH($A44, Availability!$A:$A, 0), MATCH(player, Availability!$1:$1, 0))))) = ""R""))))"),"Robbie Frost")</f>
        <v>Robbie Frost</v>
      </c>
    </row>
    <row r="45">
      <c r="A45" s="118">
        <f t="shared" si="2"/>
        <v>45985</v>
      </c>
      <c r="B45" s="119">
        <f>IFERROR(__xludf.DUMMYFUNCTION("COUNTIFS(MAP(FILTER($H$1:$K$1, $H$1:$K$1 &lt;&gt; """"), LAMBDA(player, IFNA(INDEX(Availability!$A:$AAA, MATCH($A45, Availability!$A:$A, 0), MATCH(player, Availability!$1:$1, 0))))), ""X"") + COUNTIFS(MAP(FILTER($H$1:$K$1, $H$1:$K$1 &lt;&gt; """"), LAMBDA(player, IFN"&amp;"A(INDEX(Availability!$A:$AAA, MATCH($A45, Availability!$A:$A, 0), MATCH(player, Availability!$1:$1, 0))))), ""U"") + COUNTIFS(MAP(FILTER($H$1:$K$1, $H$1:$K$1 &lt;&gt; """"), LAMBDA(player, IFNA(INDEX(Availability!$A:$AAA, MATCH($A45, Availability!$A:$A, 0), MAT"&amp;"CH(player, Availability!$1:$1, 0))))), ""R"")"),1.0)</f>
        <v>1</v>
      </c>
      <c r="C45" s="120">
        <f t="shared" si="1"/>
        <v>0.75</v>
      </c>
      <c r="D45" s="119" t="str">
        <f>IFERROR(__xludf.DUMMYFUNCTION("SPARKLINE(C45, {""charttype"", ""bar""; ""max"", 1; ""color1"", IF(C45 &lt; 0.5, ""red"", IF(C45 &lt; 0.75, ""orange"", ""green""))})"),"")</f>
        <v/>
      </c>
      <c r="E45" s="121" t="str">
        <f>IFERROR(__xludf.DUMMYFUNCTION("IFERROR(TEXTJOIN("", "", TRUE, FILTER(FILTER($H$1:$K$1, $H$1:$K$1 &lt;&gt; """"), (MAP(FILTER($H$1:$K$1, $H$1:$K$1 &lt;&gt; """"), LAMBDA(player, IFNA(INDEX(Availability!$A:$AAA, MATCH($A45, Availability!$A:$A, 0), MATCH(player, Availability!$1:$1, 0))))) = ""U""))))"),"")</f>
        <v/>
      </c>
      <c r="F45" s="121" t="str">
        <f>IFERROR(__xludf.DUMMYFUNCTION("IFERROR(TEXTJOIN("", "", TRUE, FILTER(FILTER($H$1:$K$1, $H$1:$K$1 &lt;&gt; """"), (MAP(FILTER($H$1:$K$1, $H$1:$K$1 &lt;&gt; """"), LAMBDA(player, IFNA(INDEX(Availability!$A:$AAA, MATCH($A45, Availability!$A:$A, 0), MATCH(player, Availability!$1:$1, 0))))) = ""X""))))"),"Robbie Frost")</f>
        <v>Robbie Frost</v>
      </c>
      <c r="G45" s="121" t="str">
        <f>IFERROR(__xludf.DUMMYFUNCTION("IFERROR(TEXTJOIN("", "", TRUE, FILTER(FILTER($H$1:$K$1, $H$1:$K$1 &lt;&gt; """"), (MAP(FILTER($H$1:$K$1, $H$1:$K$1 &lt;&gt; """"), LAMBDA(player, IFNA(INDEX(Availability!$A:$AAA, MATCH($A45, Availability!$A:$A, 0), MATCH(player, Availability!$1:$1, 0))))) = ""R""))))"),"")</f>
        <v/>
      </c>
    </row>
    <row r="46">
      <c r="A46" s="118">
        <f t="shared" si="2"/>
        <v>45986</v>
      </c>
      <c r="B46" s="119">
        <f>IFERROR(__xludf.DUMMYFUNCTION("COUNTIFS(MAP(FILTER($H$1:$K$1, $H$1:$K$1 &lt;&gt; """"), LAMBDA(player, IFNA(INDEX(Availability!$A:$AAA, MATCH($A46, Availability!$A:$A, 0), MATCH(player, Availability!$1:$1, 0))))), ""X"") + COUNTIFS(MAP(FILTER($H$1:$K$1, $H$1:$K$1 &lt;&gt; """"), LAMBDA(player, IFN"&amp;"A(INDEX(Availability!$A:$AAA, MATCH($A46, Availability!$A:$A, 0), MATCH(player, Availability!$1:$1, 0))))), ""U"") + COUNTIFS(MAP(FILTER($H$1:$K$1, $H$1:$K$1 &lt;&gt; """"), LAMBDA(player, IFNA(INDEX(Availability!$A:$AAA, MATCH($A46, Availability!$A:$A, 0), MAT"&amp;"CH(player, Availability!$1:$1, 0))))), ""R"")"),2.0)</f>
        <v>2</v>
      </c>
      <c r="C46" s="120">
        <f t="shared" si="1"/>
        <v>0.5</v>
      </c>
      <c r="D46" s="119" t="str">
        <f>IFERROR(__xludf.DUMMYFUNCTION("SPARKLINE(C46, {""charttype"", ""bar""; ""max"", 1; ""color1"", IF(C46 &lt; 0.5, ""red"", IF(C46 &lt; 0.75, ""orange"", ""green""))})"),"")</f>
        <v/>
      </c>
      <c r="E46" s="121" t="str">
        <f>IFERROR(__xludf.DUMMYFUNCTION("IFERROR(TEXTJOIN("", "", TRUE, FILTER(FILTER($H$1:$K$1, $H$1:$K$1 &lt;&gt; """"), (MAP(FILTER($H$1:$K$1, $H$1:$K$1 &lt;&gt; """"), LAMBDA(player, IFNA(INDEX(Availability!$A:$AAA, MATCH($A46, Availability!$A:$A, 0), MATCH(player, Availability!$1:$1, 0))))) = ""U""))))"),"Grace Webster")</f>
        <v>Grace Webster</v>
      </c>
      <c r="F46" s="121" t="str">
        <f>IFERROR(__xludf.DUMMYFUNCTION("IFERROR(TEXTJOIN("", "", TRUE, FILTER(FILTER($H$1:$K$1, $H$1:$K$1 &lt;&gt; """"), (MAP(FILTER($H$1:$K$1, $H$1:$K$1 &lt;&gt; """"), LAMBDA(player, IFNA(INDEX(Availability!$A:$AAA, MATCH($A46, Availability!$A:$A, 0), MATCH(player, Availability!$1:$1, 0))))) = ""X""))))"),"")</f>
        <v/>
      </c>
      <c r="G46" s="121" t="str">
        <f>IFERROR(__xludf.DUMMYFUNCTION("IFERROR(TEXTJOIN("", "", TRUE, FILTER(FILTER($H$1:$K$1, $H$1:$K$1 &lt;&gt; """"), (MAP(FILTER($H$1:$K$1, $H$1:$K$1 &lt;&gt; """"), LAMBDA(player, IFNA(INDEX(Availability!$A:$AAA, MATCH($A46, Availability!$A:$A, 0), MATCH(player, Availability!$1:$1, 0))))) = ""R""))))"),"Robbie Frost")</f>
        <v>Robbie Frost</v>
      </c>
    </row>
    <row r="47">
      <c r="A47" s="118">
        <f t="shared" si="2"/>
        <v>45987</v>
      </c>
      <c r="B47" s="119">
        <f>IFERROR(__xludf.DUMMYFUNCTION("COUNTIFS(MAP(FILTER($H$1:$K$1, $H$1:$K$1 &lt;&gt; """"), LAMBDA(player, IFNA(INDEX(Availability!$A:$AAA, MATCH($A47, Availability!$A:$A, 0), MATCH(player, Availability!$1:$1, 0))))), ""X"") + COUNTIFS(MAP(FILTER($H$1:$K$1, $H$1:$K$1 &lt;&gt; """"), LAMBDA(player, IFN"&amp;"A(INDEX(Availability!$A:$AAA, MATCH($A47, Availability!$A:$A, 0), MATCH(player, Availability!$1:$1, 0))))), ""U"") + COUNTIFS(MAP(FILTER($H$1:$K$1, $H$1:$K$1 &lt;&gt; """"), LAMBDA(player, IFNA(INDEX(Availability!$A:$AAA, MATCH($A47, Availability!$A:$A, 0), MAT"&amp;"CH(player, Availability!$1:$1, 0))))), ""R"")"),1.0)</f>
        <v>1</v>
      </c>
      <c r="C47" s="120">
        <f t="shared" si="1"/>
        <v>0.75</v>
      </c>
      <c r="D47" s="119" t="str">
        <f>IFERROR(__xludf.DUMMYFUNCTION("SPARKLINE(C47, {""charttype"", ""bar""; ""max"", 1; ""color1"", IF(C47 &lt; 0.5, ""red"", IF(C47 &lt; 0.75, ""orange"", ""green""))})"),"")</f>
        <v/>
      </c>
      <c r="E47" s="121" t="str">
        <f>IFERROR(__xludf.DUMMYFUNCTION("IFERROR(TEXTJOIN("", "", TRUE, FILTER(FILTER($H$1:$K$1, $H$1:$K$1 &lt;&gt; """"), (MAP(FILTER($H$1:$K$1, $H$1:$K$1 &lt;&gt; """"), LAMBDA(player, IFNA(INDEX(Availability!$A:$AAA, MATCH($A47, Availability!$A:$A, 0), MATCH(player, Availability!$1:$1, 0))))) = ""U""))))"),"")</f>
        <v/>
      </c>
      <c r="F47" s="121" t="str">
        <f>IFERROR(__xludf.DUMMYFUNCTION("IFERROR(TEXTJOIN("", "", TRUE, FILTER(FILTER($H$1:$K$1, $H$1:$K$1 &lt;&gt; """"), (MAP(FILTER($H$1:$K$1, $H$1:$K$1 &lt;&gt; """"), LAMBDA(player, IFNA(INDEX(Availability!$A:$AAA, MATCH($A47, Availability!$A:$A, 0), MATCH(player, Availability!$1:$1, 0))))) = ""X""))))"),"")</f>
        <v/>
      </c>
      <c r="G47" s="121" t="str">
        <f>IFERROR(__xludf.DUMMYFUNCTION("IFERROR(TEXTJOIN("", "", TRUE, FILTER(FILTER($H$1:$K$1, $H$1:$K$1 &lt;&gt; """"), (MAP(FILTER($H$1:$K$1, $H$1:$K$1 &lt;&gt; """"), LAMBDA(player, IFNA(INDEX(Availability!$A:$AAA, MATCH($A47, Availability!$A:$A, 0), MATCH(player, Availability!$1:$1, 0))))) = ""R""))))"),"Robbie Frost")</f>
        <v>Robbie Frost</v>
      </c>
    </row>
    <row r="48">
      <c r="A48" s="118">
        <f t="shared" si="2"/>
        <v>45988</v>
      </c>
      <c r="B48" s="119">
        <f>IFERROR(__xludf.DUMMYFUNCTION("COUNTIFS(MAP(FILTER($H$1:$K$1, $H$1:$K$1 &lt;&gt; """"), LAMBDA(player, IFNA(INDEX(Availability!$A:$AAA, MATCH($A48, Availability!$A:$A, 0), MATCH(player, Availability!$1:$1, 0))))), ""X"") + COUNTIFS(MAP(FILTER($H$1:$K$1, $H$1:$K$1 &lt;&gt; """"), LAMBDA(player, IFN"&amp;"A(INDEX(Availability!$A:$AAA, MATCH($A48, Availability!$A:$A, 0), MATCH(player, Availability!$1:$1, 0))))), ""U"") + COUNTIFS(MAP(FILTER($H$1:$K$1, $H$1:$K$1 &lt;&gt; """"), LAMBDA(player, IFNA(INDEX(Availability!$A:$AAA, MATCH($A48, Availability!$A:$A, 0), MAT"&amp;"CH(player, Availability!$1:$1, 0))))), ""R"")"),0.0)</f>
        <v>0</v>
      </c>
      <c r="C48" s="120">
        <f t="shared" si="1"/>
        <v>1</v>
      </c>
      <c r="D48" s="119" t="str">
        <f>IFERROR(__xludf.DUMMYFUNCTION("SPARKLINE(C48, {""charttype"", ""bar""; ""max"", 1; ""color1"", IF(C48 &lt; 0.5, ""red"", IF(C48 &lt; 0.75, ""orange"", ""green""))})"),"")</f>
        <v/>
      </c>
      <c r="E48" s="121" t="str">
        <f>IFERROR(__xludf.DUMMYFUNCTION("IFERROR(TEXTJOIN("", "", TRUE, FILTER(FILTER($H$1:$K$1, $H$1:$K$1 &lt;&gt; """"), (MAP(FILTER($H$1:$K$1, $H$1:$K$1 &lt;&gt; """"), LAMBDA(player, IFNA(INDEX(Availability!$A:$AAA, MATCH($A48, Availability!$A:$A, 0), MATCH(player, Availability!$1:$1, 0))))) = ""U""))))"),"")</f>
        <v/>
      </c>
      <c r="F48" s="121" t="str">
        <f>IFERROR(__xludf.DUMMYFUNCTION("IFERROR(TEXTJOIN("", "", TRUE, FILTER(FILTER($H$1:$K$1, $H$1:$K$1 &lt;&gt; """"), (MAP(FILTER($H$1:$K$1, $H$1:$K$1 &lt;&gt; """"), LAMBDA(player, IFNA(INDEX(Availability!$A:$AAA, MATCH($A48, Availability!$A:$A, 0), MATCH(player, Availability!$1:$1, 0))))) = ""X""))))"),"")</f>
        <v/>
      </c>
      <c r="G48" s="121" t="str">
        <f>IFERROR(__xludf.DUMMYFUNCTION("IFERROR(TEXTJOIN("", "", TRUE, FILTER(FILTER($H$1:$K$1, $H$1:$K$1 &lt;&gt; """"), (MAP(FILTER($H$1:$K$1, $H$1:$K$1 &lt;&gt; """"), LAMBDA(player, IFNA(INDEX(Availability!$A:$AAA, MATCH($A48, Availability!$A:$A, 0), MATCH(player, Availability!$1:$1, 0))))) = ""R""))))"),"")</f>
        <v/>
      </c>
    </row>
    <row r="49">
      <c r="A49" s="118">
        <f t="shared" si="2"/>
        <v>45989</v>
      </c>
      <c r="B49" s="119">
        <f>IFERROR(__xludf.DUMMYFUNCTION("COUNTIFS(MAP(FILTER($H$1:$K$1, $H$1:$K$1 &lt;&gt; """"), LAMBDA(player, IFNA(INDEX(Availability!$A:$AAA, MATCH($A49, Availability!$A:$A, 0), MATCH(player, Availability!$1:$1, 0))))), ""X"") + COUNTIFS(MAP(FILTER($H$1:$K$1, $H$1:$K$1 &lt;&gt; """"), LAMBDA(player, IFN"&amp;"A(INDEX(Availability!$A:$AAA, MATCH($A49, Availability!$A:$A, 0), MATCH(player, Availability!$1:$1, 0))))), ""U"") + COUNTIFS(MAP(FILTER($H$1:$K$1, $H$1:$K$1 &lt;&gt; """"), LAMBDA(player, IFNA(INDEX(Availability!$A:$AAA, MATCH($A49, Availability!$A:$A, 0), MAT"&amp;"CH(player, Availability!$1:$1, 0))))), ""R"")"),1.0)</f>
        <v>1</v>
      </c>
      <c r="C49" s="120">
        <f t="shared" si="1"/>
        <v>0.75</v>
      </c>
      <c r="D49" s="119" t="str">
        <f>IFERROR(__xludf.DUMMYFUNCTION("SPARKLINE(C49, {""charttype"", ""bar""; ""max"", 1; ""color1"", IF(C49 &lt; 0.5, ""red"", IF(C49 &lt; 0.75, ""orange"", ""green""))})"),"")</f>
        <v/>
      </c>
      <c r="E49" s="121" t="str">
        <f>IFERROR(__xludf.DUMMYFUNCTION("IFERROR(TEXTJOIN("", "", TRUE, FILTER(FILTER($H$1:$K$1, $H$1:$K$1 &lt;&gt; """"), (MAP(FILTER($H$1:$K$1, $H$1:$K$1 &lt;&gt; """"), LAMBDA(player, IFNA(INDEX(Availability!$A:$AAA, MATCH($A49, Availability!$A:$A, 0), MATCH(player, Availability!$1:$1, 0))))) = ""U""))))"),"Robbie Frost")</f>
        <v>Robbie Frost</v>
      </c>
      <c r="F49" s="121" t="str">
        <f>IFERROR(__xludf.DUMMYFUNCTION("IFERROR(TEXTJOIN("", "", TRUE, FILTER(FILTER($H$1:$K$1, $H$1:$K$1 &lt;&gt; """"), (MAP(FILTER($H$1:$K$1, $H$1:$K$1 &lt;&gt; """"), LAMBDA(player, IFNA(INDEX(Availability!$A:$AAA, MATCH($A49, Availability!$A:$A, 0), MATCH(player, Availability!$1:$1, 0))))) = ""X""))))"),"")</f>
        <v/>
      </c>
      <c r="G49" s="121" t="str">
        <f>IFERROR(__xludf.DUMMYFUNCTION("IFERROR(TEXTJOIN("", "", TRUE, FILTER(FILTER($H$1:$K$1, $H$1:$K$1 &lt;&gt; """"), (MAP(FILTER($H$1:$K$1, $H$1:$K$1 &lt;&gt; """"), LAMBDA(player, IFNA(INDEX(Availability!$A:$AAA, MATCH($A49, Availability!$A:$A, 0), MATCH(player, Availability!$1:$1, 0))))) = ""R""))))"),"")</f>
        <v/>
      </c>
    </row>
    <row r="50">
      <c r="A50" s="118">
        <f t="shared" si="2"/>
        <v>45990</v>
      </c>
      <c r="B50" s="119">
        <f>IFERROR(__xludf.DUMMYFUNCTION("COUNTIFS(MAP(FILTER($H$1:$K$1, $H$1:$K$1 &lt;&gt; """"), LAMBDA(player, IFNA(INDEX(Availability!$A:$AAA, MATCH($A50, Availability!$A:$A, 0), MATCH(player, Availability!$1:$1, 0))))), ""X"") + COUNTIFS(MAP(FILTER($H$1:$K$1, $H$1:$K$1 &lt;&gt; """"), LAMBDA(player, IFN"&amp;"A(INDEX(Availability!$A:$AAA, MATCH($A50, Availability!$A:$A, 0), MATCH(player, Availability!$1:$1, 0))))), ""U"") + COUNTIFS(MAP(FILTER($H$1:$K$1, $H$1:$K$1 &lt;&gt; """"), LAMBDA(player, IFNA(INDEX(Availability!$A:$AAA, MATCH($A50, Availability!$A:$A, 0), MAT"&amp;"CH(player, Availability!$1:$1, 0))))), ""R"")"),3.0)</f>
        <v>3</v>
      </c>
      <c r="C50" s="120">
        <f t="shared" si="1"/>
        <v>0.25</v>
      </c>
      <c r="D50" s="119" t="str">
        <f>IFERROR(__xludf.DUMMYFUNCTION("SPARKLINE(C50, {""charttype"", ""bar""; ""max"", 1; ""color1"", IF(C50 &lt; 0.5, ""red"", IF(C50 &lt; 0.75, ""orange"", ""green""))})"),"")</f>
        <v/>
      </c>
      <c r="E50" s="121" t="str">
        <f>IFERROR(__xludf.DUMMYFUNCTION("IFERROR(TEXTJOIN("", "", TRUE, FILTER(FILTER($H$1:$K$1, $H$1:$K$1 &lt;&gt; """"), (MAP(FILTER($H$1:$K$1, $H$1:$K$1 &lt;&gt; """"), LAMBDA(player, IFNA(INDEX(Availability!$A:$AAA, MATCH($A50, Availability!$A:$A, 0), MATCH(player, Availability!$1:$1, 0))))) = ""U""))))"),"Robbie Frost")</f>
        <v>Robbie Frost</v>
      </c>
      <c r="F50" s="121" t="str">
        <f>IFERROR(__xludf.DUMMYFUNCTION("IFERROR(TEXTJOIN("", "", TRUE, FILTER(FILTER($H$1:$K$1, $H$1:$K$1 &lt;&gt; """"), (MAP(FILTER($H$1:$K$1, $H$1:$K$1 &lt;&gt; """"), LAMBDA(player, IFNA(INDEX(Availability!$A:$AAA, MATCH($A50, Availability!$A:$A, 0), MATCH(player, Availability!$1:$1, 0))))) = ""X""))))"),"")</f>
        <v/>
      </c>
      <c r="G50" s="121" t="str">
        <f>IFERROR(__xludf.DUMMYFUNCTION("IFERROR(TEXTJOIN("", "", TRUE, FILTER(FILTER($H$1:$K$1, $H$1:$K$1 &lt;&gt; """"), (MAP(FILTER($H$1:$K$1, $H$1:$K$1 &lt;&gt; """"), LAMBDA(player, IFNA(INDEX(Availability!$A:$AAA, MATCH($A50, Availability!$A:$A, 0), MATCH(player, Availability!$1:$1, 0))))) = ""R""))))"),"Nejc Ceplak, Kate Frost")</f>
        <v>Nejc Ceplak, Kate Frost</v>
      </c>
    </row>
    <row r="51">
      <c r="A51" s="118">
        <f t="shared" si="2"/>
        <v>45991</v>
      </c>
      <c r="B51" s="119">
        <f>IFERROR(__xludf.DUMMYFUNCTION("COUNTIFS(MAP(FILTER($H$1:$K$1, $H$1:$K$1 &lt;&gt; """"), LAMBDA(player, IFNA(INDEX(Availability!$A:$AAA, MATCH($A51, Availability!$A:$A, 0), MATCH(player, Availability!$1:$1, 0))))), ""X"") + COUNTIFS(MAP(FILTER($H$1:$K$1, $H$1:$K$1 &lt;&gt; """"), LAMBDA(player, IFN"&amp;"A(INDEX(Availability!$A:$AAA, MATCH($A51, Availability!$A:$A, 0), MATCH(player, Availability!$1:$1, 0))))), ""U"") + COUNTIFS(MAP(FILTER($H$1:$K$1, $H$1:$K$1 &lt;&gt; """"), LAMBDA(player, IFNA(INDEX(Availability!$A:$AAA, MATCH($A51, Availability!$A:$A, 0), MAT"&amp;"CH(player, Availability!$1:$1, 0))))), ""R"")"),3.0)</f>
        <v>3</v>
      </c>
      <c r="C51" s="120">
        <f t="shared" si="1"/>
        <v>0.25</v>
      </c>
      <c r="D51" s="119" t="str">
        <f>IFERROR(__xludf.DUMMYFUNCTION("SPARKLINE(C51, {""charttype"", ""bar""; ""max"", 1; ""color1"", IF(C51 &lt; 0.5, ""red"", IF(C51 &lt; 0.75, ""orange"", ""green""))})"),"")</f>
        <v/>
      </c>
      <c r="E51" s="121" t="str">
        <f>IFERROR(__xludf.DUMMYFUNCTION("IFERROR(TEXTJOIN("", "", TRUE, FILTER(FILTER($H$1:$K$1, $H$1:$K$1 &lt;&gt; """"), (MAP(FILTER($H$1:$K$1, $H$1:$K$1 &lt;&gt; """"), LAMBDA(player, IFNA(INDEX(Availability!$A:$AAA, MATCH($A51, Availability!$A:$A, 0), MATCH(player, Availability!$1:$1, 0))))) = ""U""))))"),"Robbie Frost")</f>
        <v>Robbie Frost</v>
      </c>
      <c r="F51" s="121" t="str">
        <f>IFERROR(__xludf.DUMMYFUNCTION("IFERROR(TEXTJOIN("", "", TRUE, FILTER(FILTER($H$1:$K$1, $H$1:$K$1 &lt;&gt; """"), (MAP(FILTER($H$1:$K$1, $H$1:$K$1 &lt;&gt; """"), LAMBDA(player, IFNA(INDEX(Availability!$A:$AAA, MATCH($A51, Availability!$A:$A, 0), MATCH(player, Availability!$1:$1, 0))))) = ""X""))))"),"")</f>
        <v/>
      </c>
      <c r="G51" s="121" t="str">
        <f>IFERROR(__xludf.DUMMYFUNCTION("IFERROR(TEXTJOIN("", "", TRUE, FILTER(FILTER($H$1:$K$1, $H$1:$K$1 &lt;&gt; """"), (MAP(FILTER($H$1:$K$1, $H$1:$K$1 &lt;&gt; """"), LAMBDA(player, IFNA(INDEX(Availability!$A:$AAA, MATCH($A51, Availability!$A:$A, 0), MATCH(player, Availability!$1:$1, 0))))) = ""R""))))"),"Nejc Ceplak, Kate Frost")</f>
        <v>Nejc Ceplak, Kate Frost</v>
      </c>
    </row>
    <row r="52">
      <c r="A52" s="118">
        <f t="shared" si="2"/>
        <v>45992</v>
      </c>
      <c r="B52" s="119">
        <f>IFERROR(__xludf.DUMMYFUNCTION("COUNTIFS(MAP(FILTER($H$1:$K$1, $H$1:$K$1 &lt;&gt; """"), LAMBDA(player, IFNA(INDEX(Availability!$A:$AAA, MATCH($A52, Availability!$A:$A, 0), MATCH(player, Availability!$1:$1, 0))))), ""X"") + COUNTIFS(MAP(FILTER($H$1:$K$1, $H$1:$K$1 &lt;&gt; """"), LAMBDA(player, IFN"&amp;"A(INDEX(Availability!$A:$AAA, MATCH($A52, Availability!$A:$A, 0), MATCH(player, Availability!$1:$1, 0))))), ""U"") + COUNTIFS(MAP(FILTER($H$1:$K$1, $H$1:$K$1 &lt;&gt; """"), LAMBDA(player, IFNA(INDEX(Availability!$A:$AAA, MATCH($A52, Availability!$A:$A, 0), MAT"&amp;"CH(player, Availability!$1:$1, 0))))), ""R"")"),4.0)</f>
        <v>4</v>
      </c>
      <c r="C52" s="120">
        <f t="shared" si="1"/>
        <v>0</v>
      </c>
      <c r="D52" s="119" t="str">
        <f>IFERROR(__xludf.DUMMYFUNCTION("SPARKLINE(C52, {""charttype"", ""bar""; ""max"", 1; ""color1"", IF(C52 &lt; 0.5, ""red"", IF(C52 &lt; 0.75, ""orange"", ""green""))})"),"")</f>
        <v/>
      </c>
      <c r="E52" s="121" t="str">
        <f>IFERROR(__xludf.DUMMYFUNCTION("IFERROR(TEXTJOIN("", "", TRUE, FILTER(FILTER($H$1:$K$1, $H$1:$K$1 &lt;&gt; """"), (MAP(FILTER($H$1:$K$1, $H$1:$K$1 &lt;&gt; """"), LAMBDA(player, IFNA(INDEX(Availability!$A:$AAA, MATCH($A52, Availability!$A:$A, 0), MATCH(player, Availability!$1:$1, 0))))) = ""U""))))"),"Grace Webster")</f>
        <v>Grace Webster</v>
      </c>
      <c r="F52" s="121" t="str">
        <f>IFERROR(__xludf.DUMMYFUNCTION("IFERROR(TEXTJOIN("", "", TRUE, FILTER(FILTER($H$1:$K$1, $H$1:$K$1 &lt;&gt; """"), (MAP(FILTER($H$1:$K$1, $H$1:$K$1 &lt;&gt; """"), LAMBDA(player, IFNA(INDEX(Availability!$A:$AAA, MATCH($A52, Availability!$A:$A, 0), MATCH(player, Availability!$1:$1, 0))))) = ""X""))))"),"Nejc Ceplak, Robbie Frost, Kate Frost")</f>
        <v>Nejc Ceplak, Robbie Frost, Kate Frost</v>
      </c>
      <c r="G52" s="121" t="str">
        <f>IFERROR(__xludf.DUMMYFUNCTION("IFERROR(TEXTJOIN("", "", TRUE, FILTER(FILTER($H$1:$K$1, $H$1:$K$1 &lt;&gt; """"), (MAP(FILTER($H$1:$K$1, $H$1:$K$1 &lt;&gt; """"), LAMBDA(player, IFNA(INDEX(Availability!$A:$AAA, MATCH($A52, Availability!$A:$A, 0), MATCH(player, Availability!$1:$1, 0))))) = ""R""))))"),"")</f>
        <v/>
      </c>
    </row>
    <row r="53">
      <c r="A53" s="118">
        <f t="shared" si="2"/>
        <v>45993</v>
      </c>
      <c r="B53" s="119">
        <f>IFERROR(__xludf.DUMMYFUNCTION("COUNTIFS(MAP(FILTER($H$1:$K$1, $H$1:$K$1 &lt;&gt; """"), LAMBDA(player, IFNA(INDEX(Availability!$A:$AAA, MATCH($A53, Availability!$A:$A, 0), MATCH(player, Availability!$1:$1, 0))))), ""X"") + COUNTIFS(MAP(FILTER($H$1:$K$1, $H$1:$K$1 &lt;&gt; """"), LAMBDA(player, IFN"&amp;"A(INDEX(Availability!$A:$AAA, MATCH($A53, Availability!$A:$A, 0), MATCH(player, Availability!$1:$1, 0))))), ""U"") + COUNTIFS(MAP(FILTER($H$1:$K$1, $H$1:$K$1 &lt;&gt; """"), LAMBDA(player, IFNA(INDEX(Availability!$A:$AAA, MATCH($A53, Availability!$A:$A, 0), MAT"&amp;"CH(player, Availability!$1:$1, 0))))), ""R"")"),4.0)</f>
        <v>4</v>
      </c>
      <c r="C53" s="120">
        <f t="shared" si="1"/>
        <v>0</v>
      </c>
      <c r="D53" s="119" t="str">
        <f>IFERROR(__xludf.DUMMYFUNCTION("SPARKLINE(C53, {""charttype"", ""bar""; ""max"", 1; ""color1"", IF(C53 &lt; 0.5, ""red"", IF(C53 &lt; 0.75, ""orange"", ""green""))})"),"")</f>
        <v/>
      </c>
      <c r="E53" s="121" t="str">
        <f>IFERROR(__xludf.DUMMYFUNCTION("IFERROR(TEXTJOIN("", "", TRUE, FILTER(FILTER($H$1:$K$1, $H$1:$K$1 &lt;&gt; """"), (MAP(FILTER($H$1:$K$1, $H$1:$K$1 &lt;&gt; """"), LAMBDA(player, IFNA(INDEX(Availability!$A:$AAA, MATCH($A53, Availability!$A:$A, 0), MATCH(player, Availability!$1:$1, 0))))) = ""U""))))"),"Grace Webster")</f>
        <v>Grace Webster</v>
      </c>
      <c r="F53" s="121" t="str">
        <f>IFERROR(__xludf.DUMMYFUNCTION("IFERROR(TEXTJOIN("", "", TRUE, FILTER(FILTER($H$1:$K$1, $H$1:$K$1 &lt;&gt; """"), (MAP(FILTER($H$1:$K$1, $H$1:$K$1 &lt;&gt; """"), LAMBDA(player, IFNA(INDEX(Availability!$A:$AAA, MATCH($A53, Availability!$A:$A, 0), MATCH(player, Availability!$1:$1, 0))))) = ""X""))))"),"")</f>
        <v/>
      </c>
      <c r="G53" s="121" t="str">
        <f>IFERROR(__xludf.DUMMYFUNCTION("IFERROR(TEXTJOIN("", "", TRUE, FILTER(FILTER($H$1:$K$1, $H$1:$K$1 &lt;&gt; """"), (MAP(FILTER($H$1:$K$1, $H$1:$K$1 &lt;&gt; """"), LAMBDA(player, IFNA(INDEX(Availability!$A:$AAA, MATCH($A53, Availability!$A:$A, 0), MATCH(player, Availability!$1:$1, 0))))) = ""R""))))"),"Nejc Ceplak, Robbie Frost, Kate Frost")</f>
        <v>Nejc Ceplak, Robbie Frost, Kate Frost</v>
      </c>
    </row>
    <row r="54">
      <c r="A54" s="118">
        <f t="shared" si="2"/>
        <v>45994</v>
      </c>
      <c r="B54" s="119">
        <f>IFERROR(__xludf.DUMMYFUNCTION("COUNTIFS(MAP(FILTER($H$1:$K$1, $H$1:$K$1 &lt;&gt; """"), LAMBDA(player, IFNA(INDEX(Availability!$A:$AAA, MATCH($A54, Availability!$A:$A, 0), MATCH(player, Availability!$1:$1, 0))))), ""X"") + COUNTIFS(MAP(FILTER($H$1:$K$1, $H$1:$K$1 &lt;&gt; """"), LAMBDA(player, IFN"&amp;"A(INDEX(Availability!$A:$AAA, MATCH($A54, Availability!$A:$A, 0), MATCH(player, Availability!$1:$1, 0))))), ""U"") + COUNTIFS(MAP(FILTER($H$1:$K$1, $H$1:$K$1 &lt;&gt; """"), LAMBDA(player, IFNA(INDEX(Availability!$A:$AAA, MATCH($A54, Availability!$A:$A, 0), MAT"&amp;"CH(player, Availability!$1:$1, 0))))), ""R"")"),4.0)</f>
        <v>4</v>
      </c>
      <c r="C54" s="120">
        <f t="shared" si="1"/>
        <v>0</v>
      </c>
      <c r="D54" s="119" t="str">
        <f>IFERROR(__xludf.DUMMYFUNCTION("SPARKLINE(C54, {""charttype"", ""bar""; ""max"", 1; ""color1"", IF(C54 &lt; 0.5, ""red"", IF(C54 &lt; 0.75, ""orange"", ""green""))})"),"")</f>
        <v/>
      </c>
      <c r="E54" s="121" t="str">
        <f>IFERROR(__xludf.DUMMYFUNCTION("IFERROR(TEXTJOIN("", "", TRUE, FILTER(FILTER($H$1:$K$1, $H$1:$K$1 &lt;&gt; """"), (MAP(FILTER($H$1:$K$1, $H$1:$K$1 &lt;&gt; """"), LAMBDA(player, IFNA(INDEX(Availability!$A:$AAA, MATCH($A54, Availability!$A:$A, 0), MATCH(player, Availability!$1:$1, 0))))) = ""U""))))"),"Grace Webster")</f>
        <v>Grace Webster</v>
      </c>
      <c r="F54" s="121" t="str">
        <f>IFERROR(__xludf.DUMMYFUNCTION("IFERROR(TEXTJOIN("", "", TRUE, FILTER(FILTER($H$1:$K$1, $H$1:$K$1 &lt;&gt; """"), (MAP(FILTER($H$1:$K$1, $H$1:$K$1 &lt;&gt; """"), LAMBDA(player, IFNA(INDEX(Availability!$A:$AAA, MATCH($A54, Availability!$A:$A, 0), MATCH(player, Availability!$1:$1, 0))))) = ""X""))))"),"")</f>
        <v/>
      </c>
      <c r="G54" s="121" t="str">
        <f>IFERROR(__xludf.DUMMYFUNCTION("IFERROR(TEXTJOIN("", "", TRUE, FILTER(FILTER($H$1:$K$1, $H$1:$K$1 &lt;&gt; """"), (MAP(FILTER($H$1:$K$1, $H$1:$K$1 &lt;&gt; """"), LAMBDA(player, IFNA(INDEX(Availability!$A:$AAA, MATCH($A54, Availability!$A:$A, 0), MATCH(player, Availability!$1:$1, 0))))) = ""R""))))"),"Nejc Ceplak, Robbie Frost, Kate Frost")</f>
        <v>Nejc Ceplak, Robbie Frost, Kate Frost</v>
      </c>
    </row>
    <row r="55">
      <c r="A55" s="118">
        <f t="shared" si="2"/>
        <v>45995</v>
      </c>
      <c r="B55" s="119">
        <f>IFERROR(__xludf.DUMMYFUNCTION("COUNTIFS(MAP(FILTER($H$1:$K$1, $H$1:$K$1 &lt;&gt; """"), LAMBDA(player, IFNA(INDEX(Availability!$A:$AAA, MATCH($A55, Availability!$A:$A, 0), MATCH(player, Availability!$1:$1, 0))))), ""X"") + COUNTIFS(MAP(FILTER($H$1:$K$1, $H$1:$K$1 &lt;&gt; """"), LAMBDA(player, IFN"&amp;"A(INDEX(Availability!$A:$AAA, MATCH($A55, Availability!$A:$A, 0), MATCH(player, Availability!$1:$1, 0))))), ""U"") + COUNTIFS(MAP(FILTER($H$1:$K$1, $H$1:$K$1 &lt;&gt; """"), LAMBDA(player, IFNA(INDEX(Availability!$A:$AAA, MATCH($A55, Availability!$A:$A, 0), MAT"&amp;"CH(player, Availability!$1:$1, 0))))), ""R"")"),2.0)</f>
        <v>2</v>
      </c>
      <c r="C55" s="120">
        <f t="shared" si="1"/>
        <v>0.5</v>
      </c>
      <c r="D55" s="119" t="str">
        <f>IFERROR(__xludf.DUMMYFUNCTION("SPARKLINE(C55, {""charttype"", ""bar""; ""max"", 1; ""color1"", IF(C55 &lt; 0.5, ""red"", IF(C55 &lt; 0.75, ""orange"", ""green""))})"),"")</f>
        <v/>
      </c>
      <c r="E55" s="121" t="str">
        <f>IFERROR(__xludf.DUMMYFUNCTION("IFERROR(TEXTJOIN("", "", TRUE, FILTER(FILTER($H$1:$K$1, $H$1:$K$1 &lt;&gt; """"), (MAP(FILTER($H$1:$K$1, $H$1:$K$1 &lt;&gt; """"), LAMBDA(player, IFNA(INDEX(Availability!$A:$AAA, MATCH($A55, Availability!$A:$A, 0), MATCH(player, Availability!$1:$1, 0))))) = ""U""))))"),"Grace Webster")</f>
        <v>Grace Webster</v>
      </c>
      <c r="F55" s="121" t="str">
        <f>IFERROR(__xludf.DUMMYFUNCTION("IFERROR(TEXTJOIN("", "", TRUE, FILTER(FILTER($H$1:$K$1, $H$1:$K$1 &lt;&gt; """"), (MAP(FILTER($H$1:$K$1, $H$1:$K$1 &lt;&gt; """"), LAMBDA(player, IFNA(INDEX(Availability!$A:$AAA, MATCH($A55, Availability!$A:$A, 0), MATCH(player, Availability!$1:$1, 0))))) = ""X""))))"),"")</f>
        <v/>
      </c>
      <c r="G55" s="121" t="str">
        <f>IFERROR(__xludf.DUMMYFUNCTION("IFERROR(TEXTJOIN("", "", TRUE, FILTER(FILTER($H$1:$K$1, $H$1:$K$1 &lt;&gt; """"), (MAP(FILTER($H$1:$K$1, $H$1:$K$1 &lt;&gt; """"), LAMBDA(player, IFNA(INDEX(Availability!$A:$AAA, MATCH($A55, Availability!$A:$A, 0), MATCH(player, Availability!$1:$1, 0))))) = ""R""))))"),"Robbie Frost")</f>
        <v>Robbie Frost</v>
      </c>
    </row>
    <row r="56">
      <c r="A56" s="118">
        <f t="shared" si="2"/>
        <v>45996</v>
      </c>
      <c r="B56" s="119">
        <f>IFERROR(__xludf.DUMMYFUNCTION("COUNTIFS(MAP(FILTER($H$1:$K$1, $H$1:$K$1 &lt;&gt; """"), LAMBDA(player, IFNA(INDEX(Availability!$A:$AAA, MATCH($A56, Availability!$A:$A, 0), MATCH(player, Availability!$1:$1, 0))))), ""X"") + COUNTIFS(MAP(FILTER($H$1:$K$1, $H$1:$K$1 &lt;&gt; """"), LAMBDA(player, IFN"&amp;"A(INDEX(Availability!$A:$AAA, MATCH($A56, Availability!$A:$A, 0), MATCH(player, Availability!$1:$1, 0))))), ""U"") + COUNTIFS(MAP(FILTER($H$1:$K$1, $H$1:$K$1 &lt;&gt; """"), LAMBDA(player, IFNA(INDEX(Availability!$A:$AAA, MATCH($A56, Availability!$A:$A, 0), MAT"&amp;"CH(player, Availability!$1:$1, 0))))), ""R"")"),2.0)</f>
        <v>2</v>
      </c>
      <c r="C56" s="120">
        <f t="shared" si="1"/>
        <v>0.5</v>
      </c>
      <c r="D56" s="119" t="str">
        <f>IFERROR(__xludf.DUMMYFUNCTION("SPARKLINE(C56, {""charttype"", ""bar""; ""max"", 1; ""color1"", IF(C56 &lt; 0.5, ""red"", IF(C56 &lt; 0.75, ""orange"", ""green""))})"),"")</f>
        <v/>
      </c>
      <c r="E56" s="121" t="str">
        <f>IFERROR(__xludf.DUMMYFUNCTION("IFERROR(TEXTJOIN("", "", TRUE, FILTER(FILTER($H$1:$K$1, $H$1:$K$1 &lt;&gt; """"), (MAP(FILTER($H$1:$K$1, $H$1:$K$1 &lt;&gt; """"), LAMBDA(player, IFNA(INDEX(Availability!$A:$AAA, MATCH($A56, Availability!$A:$A, 0), MATCH(player, Availability!$1:$1, 0))))) = ""U""))))"),"")</f>
        <v/>
      </c>
      <c r="F56" s="121" t="str">
        <f>IFERROR(__xludf.DUMMYFUNCTION("IFERROR(TEXTJOIN("", "", TRUE, FILTER(FILTER($H$1:$K$1, $H$1:$K$1 &lt;&gt; """"), (MAP(FILTER($H$1:$K$1, $H$1:$K$1 &lt;&gt; """"), LAMBDA(player, IFNA(INDEX(Availability!$A:$AAA, MATCH($A56, Availability!$A:$A, 0), MATCH(player, Availability!$1:$1, 0))))) = ""X""))))"),"Robbie Frost, Grace Webster")</f>
        <v>Robbie Frost, Grace Webster</v>
      </c>
      <c r="G56" s="121" t="str">
        <f>IFERROR(__xludf.DUMMYFUNCTION("IFERROR(TEXTJOIN("", "", TRUE, FILTER(FILTER($H$1:$K$1, $H$1:$K$1 &lt;&gt; """"), (MAP(FILTER($H$1:$K$1, $H$1:$K$1 &lt;&gt; """"), LAMBDA(player, IFNA(INDEX(Availability!$A:$AAA, MATCH($A56, Availability!$A:$A, 0), MATCH(player, Availability!$1:$1, 0))))) = ""R""))))"),"")</f>
        <v/>
      </c>
    </row>
    <row r="57">
      <c r="A57" s="118">
        <f t="shared" si="2"/>
        <v>45997</v>
      </c>
      <c r="B57" s="119">
        <f>IFERROR(__xludf.DUMMYFUNCTION("COUNTIFS(MAP(FILTER($H$1:$K$1, $H$1:$K$1 &lt;&gt; """"), LAMBDA(player, IFNA(INDEX(Availability!$A:$AAA, MATCH($A57, Availability!$A:$A, 0), MATCH(player, Availability!$1:$1, 0))))), ""X"") + COUNTIFS(MAP(FILTER($H$1:$K$1, $H$1:$K$1 &lt;&gt; """"), LAMBDA(player, IFN"&amp;"A(INDEX(Availability!$A:$AAA, MATCH($A57, Availability!$A:$A, 0), MATCH(player, Availability!$1:$1, 0))))), ""U"") + COUNTIFS(MAP(FILTER($H$1:$K$1, $H$1:$K$1 &lt;&gt; """"), LAMBDA(player, IFNA(INDEX(Availability!$A:$AAA, MATCH($A57, Availability!$A:$A, 0), MAT"&amp;"CH(player, Availability!$1:$1, 0))))), ""R"")"),2.0)</f>
        <v>2</v>
      </c>
      <c r="C57" s="120">
        <f t="shared" si="1"/>
        <v>0.5</v>
      </c>
      <c r="D57" s="119" t="str">
        <f>IFERROR(__xludf.DUMMYFUNCTION("SPARKLINE(C57, {""charttype"", ""bar""; ""max"", 1; ""color1"", IF(C57 &lt; 0.5, ""red"", IF(C57 &lt; 0.75, ""orange"", ""green""))})"),"")</f>
        <v/>
      </c>
      <c r="E57" s="121" t="str">
        <f>IFERROR(__xludf.DUMMYFUNCTION("IFERROR(TEXTJOIN("", "", TRUE, FILTER(FILTER($H$1:$K$1, $H$1:$K$1 &lt;&gt; """"), (MAP(FILTER($H$1:$K$1, $H$1:$K$1 &lt;&gt; """"), LAMBDA(player, IFNA(INDEX(Availability!$A:$AAA, MATCH($A57, Availability!$A:$A, 0), MATCH(player, Availability!$1:$1, 0))))) = ""U""))))"),"")</f>
        <v/>
      </c>
      <c r="F57" s="121" t="str">
        <f>IFERROR(__xludf.DUMMYFUNCTION("IFERROR(TEXTJOIN("", "", TRUE, FILTER(FILTER($H$1:$K$1, $H$1:$K$1 &lt;&gt; """"), (MAP(FILTER($H$1:$K$1, $H$1:$K$1 &lt;&gt; """"), LAMBDA(player, IFNA(INDEX(Availability!$A:$AAA, MATCH($A57, Availability!$A:$A, 0), MATCH(player, Availability!$1:$1, 0))))) = ""X""))))"),"")</f>
        <v/>
      </c>
      <c r="G57" s="121" t="str">
        <f>IFERROR(__xludf.DUMMYFUNCTION("IFERROR(TEXTJOIN("", "", TRUE, FILTER(FILTER($H$1:$K$1, $H$1:$K$1 &lt;&gt; """"), (MAP(FILTER($H$1:$K$1, $H$1:$K$1 &lt;&gt; """"), LAMBDA(player, IFNA(INDEX(Availability!$A:$AAA, MATCH($A57, Availability!$A:$A, 0), MATCH(player, Availability!$1:$1, 0))))) = ""R""))))"),"Robbie Frost, Grace Webster")</f>
        <v>Robbie Frost, Grace Webster</v>
      </c>
    </row>
    <row r="58">
      <c r="A58" s="118">
        <f t="shared" si="2"/>
        <v>45998</v>
      </c>
      <c r="B58" s="119">
        <f>IFERROR(__xludf.DUMMYFUNCTION("COUNTIFS(MAP(FILTER($H$1:$K$1, $H$1:$K$1 &lt;&gt; """"), LAMBDA(player, IFNA(INDEX(Availability!$A:$AAA, MATCH($A58, Availability!$A:$A, 0), MATCH(player, Availability!$1:$1, 0))))), ""X"") + COUNTIFS(MAP(FILTER($H$1:$K$1, $H$1:$K$1 &lt;&gt; """"), LAMBDA(player, IFN"&amp;"A(INDEX(Availability!$A:$AAA, MATCH($A58, Availability!$A:$A, 0), MATCH(player, Availability!$1:$1, 0))))), ""U"") + COUNTIFS(MAP(FILTER($H$1:$K$1, $H$1:$K$1 &lt;&gt; """"), LAMBDA(player, IFNA(INDEX(Availability!$A:$AAA, MATCH($A58, Availability!$A:$A, 0), MAT"&amp;"CH(player, Availability!$1:$1, 0))))), ""R"")"),2.0)</f>
        <v>2</v>
      </c>
      <c r="C58" s="120">
        <f t="shared" si="1"/>
        <v>0.5</v>
      </c>
      <c r="D58" s="119" t="str">
        <f>IFERROR(__xludf.DUMMYFUNCTION("SPARKLINE(C58, {""charttype"", ""bar""; ""max"", 1; ""color1"", IF(C58 &lt; 0.5, ""red"", IF(C58 &lt; 0.75, ""orange"", ""green""))})"),"")</f>
        <v/>
      </c>
      <c r="E58" s="121" t="str">
        <f>IFERROR(__xludf.DUMMYFUNCTION("IFERROR(TEXTJOIN("", "", TRUE, FILTER(FILTER($H$1:$K$1, $H$1:$K$1 &lt;&gt; """"), (MAP(FILTER($H$1:$K$1, $H$1:$K$1 &lt;&gt; """"), LAMBDA(player, IFNA(INDEX(Availability!$A:$AAA, MATCH($A58, Availability!$A:$A, 0), MATCH(player, Availability!$1:$1, 0))))) = ""U""))))"),"")</f>
        <v/>
      </c>
      <c r="F58" s="121" t="str">
        <f>IFERROR(__xludf.DUMMYFUNCTION("IFERROR(TEXTJOIN("", "", TRUE, FILTER(FILTER($H$1:$K$1, $H$1:$K$1 &lt;&gt; """"), (MAP(FILTER($H$1:$K$1, $H$1:$K$1 &lt;&gt; """"), LAMBDA(player, IFNA(INDEX(Availability!$A:$AAA, MATCH($A58, Availability!$A:$A, 0), MATCH(player, Availability!$1:$1, 0))))) = ""X""))))"),"")</f>
        <v/>
      </c>
      <c r="G58" s="121" t="str">
        <f>IFERROR(__xludf.DUMMYFUNCTION("IFERROR(TEXTJOIN("", "", TRUE, FILTER(FILTER($H$1:$K$1, $H$1:$K$1 &lt;&gt; """"), (MAP(FILTER($H$1:$K$1, $H$1:$K$1 &lt;&gt; """"), LAMBDA(player, IFNA(INDEX(Availability!$A:$AAA, MATCH($A58, Availability!$A:$A, 0), MATCH(player, Availability!$1:$1, 0))))) = ""R""))))"),"Robbie Frost, Grace Webster")</f>
        <v>Robbie Frost, Grace Webster</v>
      </c>
    </row>
    <row r="59">
      <c r="A59" s="118">
        <f t="shared" si="2"/>
        <v>45999</v>
      </c>
      <c r="B59" s="119">
        <f>IFERROR(__xludf.DUMMYFUNCTION("COUNTIFS(MAP(FILTER($H$1:$K$1, $H$1:$K$1 &lt;&gt; """"), LAMBDA(player, IFNA(INDEX(Availability!$A:$AAA, MATCH($A59, Availability!$A:$A, 0), MATCH(player, Availability!$1:$1, 0))))), ""X"") + COUNTIFS(MAP(FILTER($H$1:$K$1, $H$1:$K$1 &lt;&gt; """"), LAMBDA(player, IFN"&amp;"A(INDEX(Availability!$A:$AAA, MATCH($A59, Availability!$A:$A, 0), MATCH(player, Availability!$1:$1, 0))))), ""U"") + COUNTIFS(MAP(FILTER($H$1:$K$1, $H$1:$K$1 &lt;&gt; """"), LAMBDA(player, IFNA(INDEX(Availability!$A:$AAA, MATCH($A59, Availability!$A:$A, 0), MAT"&amp;"CH(player, Availability!$1:$1, 0))))), ""R"")"),0.0)</f>
        <v>0</v>
      </c>
      <c r="C59" s="120">
        <f t="shared" si="1"/>
        <v>1</v>
      </c>
      <c r="D59" s="119" t="str">
        <f>IFERROR(__xludf.DUMMYFUNCTION("SPARKLINE(C59, {""charttype"", ""bar""; ""max"", 1; ""color1"", IF(C59 &lt; 0.5, ""red"", IF(C59 &lt; 0.75, ""orange"", ""green""))})"),"")</f>
        <v/>
      </c>
      <c r="E59" s="121" t="str">
        <f>IFERROR(__xludf.DUMMYFUNCTION("IFERROR(TEXTJOIN("", "", TRUE, FILTER(FILTER($H$1:$K$1, $H$1:$K$1 &lt;&gt; """"), (MAP(FILTER($H$1:$K$1, $H$1:$K$1 &lt;&gt; """"), LAMBDA(player, IFNA(INDEX(Availability!$A:$AAA, MATCH($A59, Availability!$A:$A, 0), MATCH(player, Availability!$1:$1, 0))))) = ""U""))))"),"")</f>
        <v/>
      </c>
      <c r="F59" s="121" t="str">
        <f>IFERROR(__xludf.DUMMYFUNCTION("IFERROR(TEXTJOIN("", "", TRUE, FILTER(FILTER($H$1:$K$1, $H$1:$K$1 &lt;&gt; """"), (MAP(FILTER($H$1:$K$1, $H$1:$K$1 &lt;&gt; """"), LAMBDA(player, IFNA(INDEX(Availability!$A:$AAA, MATCH($A59, Availability!$A:$A, 0), MATCH(player, Availability!$1:$1, 0))))) = ""X""))))"),"")</f>
        <v/>
      </c>
      <c r="G59" s="121" t="str">
        <f>IFERROR(__xludf.DUMMYFUNCTION("IFERROR(TEXTJOIN("", "", TRUE, FILTER(FILTER($H$1:$K$1, $H$1:$K$1 &lt;&gt; """"), (MAP(FILTER($H$1:$K$1, $H$1:$K$1 &lt;&gt; """"), LAMBDA(player, IFNA(INDEX(Availability!$A:$AAA, MATCH($A59, Availability!$A:$A, 0), MATCH(player, Availability!$1:$1, 0))))) = ""R""))))"),"")</f>
        <v/>
      </c>
    </row>
    <row r="60">
      <c r="A60" s="118">
        <f t="shared" si="2"/>
        <v>46000</v>
      </c>
      <c r="B60" s="119">
        <f>IFERROR(__xludf.DUMMYFUNCTION("COUNTIFS(MAP(FILTER($H$1:$K$1, $H$1:$K$1 &lt;&gt; """"), LAMBDA(player, IFNA(INDEX(Availability!$A:$AAA, MATCH($A60, Availability!$A:$A, 0), MATCH(player, Availability!$1:$1, 0))))), ""X"") + COUNTIFS(MAP(FILTER($H$1:$K$1, $H$1:$K$1 &lt;&gt; """"), LAMBDA(player, IFN"&amp;"A(INDEX(Availability!$A:$AAA, MATCH($A60, Availability!$A:$A, 0), MATCH(player, Availability!$1:$1, 0))))), ""U"") + COUNTIFS(MAP(FILTER($H$1:$K$1, $H$1:$K$1 &lt;&gt; """"), LAMBDA(player, IFNA(INDEX(Availability!$A:$AAA, MATCH($A60, Availability!$A:$A, 0), MAT"&amp;"CH(player, Availability!$1:$1, 0))))), ""R"")"),0.0)</f>
        <v>0</v>
      </c>
      <c r="C60" s="120">
        <f t="shared" si="1"/>
        <v>1</v>
      </c>
      <c r="D60" s="119" t="str">
        <f>IFERROR(__xludf.DUMMYFUNCTION("SPARKLINE(C60, {""charttype"", ""bar""; ""max"", 1; ""color1"", IF(C60 &lt; 0.5, ""red"", IF(C60 &lt; 0.75, ""orange"", ""green""))})"),"")</f>
        <v/>
      </c>
      <c r="E60" s="121" t="str">
        <f>IFERROR(__xludf.DUMMYFUNCTION("IFERROR(TEXTJOIN("", "", TRUE, FILTER(FILTER($H$1:$K$1, $H$1:$K$1 &lt;&gt; """"), (MAP(FILTER($H$1:$K$1, $H$1:$K$1 &lt;&gt; """"), LAMBDA(player, IFNA(INDEX(Availability!$A:$AAA, MATCH($A60, Availability!$A:$A, 0), MATCH(player, Availability!$1:$1, 0))))) = ""U""))))"),"")</f>
        <v/>
      </c>
      <c r="F60" s="121" t="str">
        <f>IFERROR(__xludf.DUMMYFUNCTION("IFERROR(TEXTJOIN("", "", TRUE, FILTER(FILTER($H$1:$K$1, $H$1:$K$1 &lt;&gt; """"), (MAP(FILTER($H$1:$K$1, $H$1:$K$1 &lt;&gt; """"), LAMBDA(player, IFNA(INDEX(Availability!$A:$AAA, MATCH($A60, Availability!$A:$A, 0), MATCH(player, Availability!$1:$1, 0))))) = ""X""))))"),"")</f>
        <v/>
      </c>
      <c r="G60" s="121" t="str">
        <f>IFERROR(__xludf.DUMMYFUNCTION("IFERROR(TEXTJOIN("", "", TRUE, FILTER(FILTER($H$1:$K$1, $H$1:$K$1 &lt;&gt; """"), (MAP(FILTER($H$1:$K$1, $H$1:$K$1 &lt;&gt; """"), LAMBDA(player, IFNA(INDEX(Availability!$A:$AAA, MATCH($A60, Availability!$A:$A, 0), MATCH(player, Availability!$1:$1, 0))))) = ""R""))))"),"")</f>
        <v/>
      </c>
    </row>
    <row r="61">
      <c r="A61" s="118">
        <f t="shared" si="2"/>
        <v>46001</v>
      </c>
      <c r="B61" s="119">
        <f>IFERROR(__xludf.DUMMYFUNCTION("COUNTIFS(MAP(FILTER($H$1:$K$1, $H$1:$K$1 &lt;&gt; """"), LAMBDA(player, IFNA(INDEX(Availability!$A:$AAA, MATCH($A61, Availability!$A:$A, 0), MATCH(player, Availability!$1:$1, 0))))), ""X"") + COUNTIFS(MAP(FILTER($H$1:$K$1, $H$1:$K$1 &lt;&gt; """"), LAMBDA(player, IFN"&amp;"A(INDEX(Availability!$A:$AAA, MATCH($A61, Availability!$A:$A, 0), MATCH(player, Availability!$1:$1, 0))))), ""U"") + COUNTIFS(MAP(FILTER($H$1:$K$1, $H$1:$K$1 &lt;&gt; """"), LAMBDA(player, IFNA(INDEX(Availability!$A:$AAA, MATCH($A61, Availability!$A:$A, 0), MAT"&amp;"CH(player, Availability!$1:$1, 0))))), ""R"")"),0.0)</f>
        <v>0</v>
      </c>
      <c r="C61" s="120">
        <f t="shared" si="1"/>
        <v>1</v>
      </c>
      <c r="D61" s="119" t="str">
        <f>IFERROR(__xludf.DUMMYFUNCTION("SPARKLINE(C61, {""charttype"", ""bar""; ""max"", 1; ""color1"", IF(C61 &lt; 0.5, ""red"", IF(C61 &lt; 0.75, ""orange"", ""green""))})"),"")</f>
        <v/>
      </c>
      <c r="E61" s="121" t="str">
        <f>IFERROR(__xludf.DUMMYFUNCTION("IFERROR(TEXTJOIN("", "", TRUE, FILTER(FILTER($H$1:$K$1, $H$1:$K$1 &lt;&gt; """"), (MAP(FILTER($H$1:$K$1, $H$1:$K$1 &lt;&gt; """"), LAMBDA(player, IFNA(INDEX(Availability!$A:$AAA, MATCH($A61, Availability!$A:$A, 0), MATCH(player, Availability!$1:$1, 0))))) = ""U""))))"),"")</f>
        <v/>
      </c>
      <c r="F61" s="121" t="str">
        <f>IFERROR(__xludf.DUMMYFUNCTION("IFERROR(TEXTJOIN("", "", TRUE, FILTER(FILTER($H$1:$K$1, $H$1:$K$1 &lt;&gt; """"), (MAP(FILTER($H$1:$K$1, $H$1:$K$1 &lt;&gt; """"), LAMBDA(player, IFNA(INDEX(Availability!$A:$AAA, MATCH($A61, Availability!$A:$A, 0), MATCH(player, Availability!$1:$1, 0))))) = ""X""))))"),"")</f>
        <v/>
      </c>
      <c r="G61" s="121" t="str">
        <f>IFERROR(__xludf.DUMMYFUNCTION("IFERROR(TEXTJOIN("", "", TRUE, FILTER(FILTER($H$1:$K$1, $H$1:$K$1 &lt;&gt; """"), (MAP(FILTER($H$1:$K$1, $H$1:$K$1 &lt;&gt; """"), LAMBDA(player, IFNA(INDEX(Availability!$A:$AAA, MATCH($A61, Availability!$A:$A, 0), MATCH(player, Availability!$1:$1, 0))))) = ""R""))))"),"")</f>
        <v/>
      </c>
    </row>
    <row r="62">
      <c r="A62" s="118">
        <f t="shared" si="2"/>
        <v>46002</v>
      </c>
      <c r="B62" s="119">
        <f>IFERROR(__xludf.DUMMYFUNCTION("COUNTIFS(MAP(FILTER($H$1:$K$1, $H$1:$K$1 &lt;&gt; """"), LAMBDA(player, IFNA(INDEX(Availability!$A:$AAA, MATCH($A62, Availability!$A:$A, 0), MATCH(player, Availability!$1:$1, 0))))), ""X"") + COUNTIFS(MAP(FILTER($H$1:$K$1, $H$1:$K$1 &lt;&gt; """"), LAMBDA(player, IFN"&amp;"A(INDEX(Availability!$A:$AAA, MATCH($A62, Availability!$A:$A, 0), MATCH(player, Availability!$1:$1, 0))))), ""U"") + COUNTIFS(MAP(FILTER($H$1:$K$1, $H$1:$K$1 &lt;&gt; """"), LAMBDA(player, IFNA(INDEX(Availability!$A:$AAA, MATCH($A62, Availability!$A:$A, 0), MAT"&amp;"CH(player, Availability!$1:$1, 0))))), ""R"")"),1.0)</f>
        <v>1</v>
      </c>
      <c r="C62" s="120">
        <f t="shared" si="1"/>
        <v>0.75</v>
      </c>
      <c r="D62" s="119" t="str">
        <f>IFERROR(__xludf.DUMMYFUNCTION("SPARKLINE(C62, {""charttype"", ""bar""; ""max"", 1; ""color1"", IF(C62 &lt; 0.5, ""red"", IF(C62 &lt; 0.75, ""orange"", ""green""))})"),"")</f>
        <v/>
      </c>
      <c r="E62" s="121" t="str">
        <f>IFERROR(__xludf.DUMMYFUNCTION("IFERROR(TEXTJOIN("", "", TRUE, FILTER(FILTER($H$1:$K$1, $H$1:$K$1 &lt;&gt; """"), (MAP(FILTER($H$1:$K$1, $H$1:$K$1 &lt;&gt; """"), LAMBDA(player, IFNA(INDEX(Availability!$A:$AAA, MATCH($A62, Availability!$A:$A, 0), MATCH(player, Availability!$1:$1, 0))))) = ""U""))))"),"Grace Webster")</f>
        <v>Grace Webster</v>
      </c>
      <c r="F62" s="121" t="str">
        <f>IFERROR(__xludf.DUMMYFUNCTION("IFERROR(TEXTJOIN("", "", TRUE, FILTER(FILTER($H$1:$K$1, $H$1:$K$1 &lt;&gt; """"), (MAP(FILTER($H$1:$K$1, $H$1:$K$1 &lt;&gt; """"), LAMBDA(player, IFNA(INDEX(Availability!$A:$AAA, MATCH($A62, Availability!$A:$A, 0), MATCH(player, Availability!$1:$1, 0))))) = ""X""))))"),"")</f>
        <v/>
      </c>
      <c r="G62" s="121" t="str">
        <f>IFERROR(__xludf.DUMMYFUNCTION("IFERROR(TEXTJOIN("", "", TRUE, FILTER(FILTER($H$1:$K$1, $H$1:$K$1 &lt;&gt; """"), (MAP(FILTER($H$1:$K$1, $H$1:$K$1 &lt;&gt; """"), LAMBDA(player, IFNA(INDEX(Availability!$A:$AAA, MATCH($A62, Availability!$A:$A, 0), MATCH(player, Availability!$1:$1, 0))))) = ""R""))))"),"")</f>
        <v/>
      </c>
    </row>
    <row r="63">
      <c r="A63" s="118">
        <f t="shared" si="2"/>
        <v>46003</v>
      </c>
      <c r="B63" s="119">
        <f>IFERROR(__xludf.DUMMYFUNCTION("COUNTIFS(MAP(FILTER($H$1:$K$1, $H$1:$K$1 &lt;&gt; """"), LAMBDA(player, IFNA(INDEX(Availability!$A:$AAA, MATCH($A63, Availability!$A:$A, 0), MATCH(player, Availability!$1:$1, 0))))), ""X"") + COUNTIFS(MAP(FILTER($H$1:$K$1, $H$1:$K$1 &lt;&gt; """"), LAMBDA(player, IFN"&amp;"A(INDEX(Availability!$A:$AAA, MATCH($A63, Availability!$A:$A, 0), MATCH(player, Availability!$1:$1, 0))))), ""U"") + COUNTIFS(MAP(FILTER($H$1:$K$1, $H$1:$K$1 &lt;&gt; """"), LAMBDA(player, IFNA(INDEX(Availability!$A:$AAA, MATCH($A63, Availability!$A:$A, 0), MAT"&amp;"CH(player, Availability!$1:$1, 0))))), ""R"")"),1.0)</f>
        <v>1</v>
      </c>
      <c r="C63" s="120">
        <f t="shared" si="1"/>
        <v>0.75</v>
      </c>
      <c r="D63" s="119" t="str">
        <f>IFERROR(__xludf.DUMMYFUNCTION("SPARKLINE(C63, {""charttype"", ""bar""; ""max"", 1; ""color1"", IF(C63 &lt; 0.5, ""red"", IF(C63 &lt; 0.75, ""orange"", ""green""))})"),"")</f>
        <v/>
      </c>
      <c r="E63" s="121" t="str">
        <f>IFERROR(__xludf.DUMMYFUNCTION("IFERROR(TEXTJOIN("", "", TRUE, FILTER(FILTER($H$1:$K$1, $H$1:$K$1 &lt;&gt; """"), (MAP(FILTER($H$1:$K$1, $H$1:$K$1 &lt;&gt; """"), LAMBDA(player, IFNA(INDEX(Availability!$A:$AAA, MATCH($A63, Availability!$A:$A, 0), MATCH(player, Availability!$1:$1, 0))))) = ""U""))))"),"Grace Webster")</f>
        <v>Grace Webster</v>
      </c>
      <c r="F63" s="121" t="str">
        <f>IFERROR(__xludf.DUMMYFUNCTION("IFERROR(TEXTJOIN("", "", TRUE, FILTER(FILTER($H$1:$K$1, $H$1:$K$1 &lt;&gt; """"), (MAP(FILTER($H$1:$K$1, $H$1:$K$1 &lt;&gt; """"), LAMBDA(player, IFNA(INDEX(Availability!$A:$AAA, MATCH($A63, Availability!$A:$A, 0), MATCH(player, Availability!$1:$1, 0))))) = ""X""))))"),"")</f>
        <v/>
      </c>
      <c r="G63" s="121" t="str">
        <f>IFERROR(__xludf.DUMMYFUNCTION("IFERROR(TEXTJOIN("", "", TRUE, FILTER(FILTER($H$1:$K$1, $H$1:$K$1 &lt;&gt; """"), (MAP(FILTER($H$1:$K$1, $H$1:$K$1 &lt;&gt; """"), LAMBDA(player, IFNA(INDEX(Availability!$A:$AAA, MATCH($A63, Availability!$A:$A, 0), MATCH(player, Availability!$1:$1, 0))))) = ""R""))))"),"")</f>
        <v/>
      </c>
    </row>
    <row r="64">
      <c r="A64" s="118">
        <f t="shared" si="2"/>
        <v>46004</v>
      </c>
      <c r="B64" s="119">
        <f>IFERROR(__xludf.DUMMYFUNCTION("COUNTIFS(MAP(FILTER($H$1:$K$1, $H$1:$K$1 &lt;&gt; """"), LAMBDA(player, IFNA(INDEX(Availability!$A:$AAA, MATCH($A64, Availability!$A:$A, 0), MATCH(player, Availability!$1:$1, 0))))), ""X"") + COUNTIFS(MAP(FILTER($H$1:$K$1, $H$1:$K$1 &lt;&gt; """"), LAMBDA(player, IFN"&amp;"A(INDEX(Availability!$A:$AAA, MATCH($A64, Availability!$A:$A, 0), MATCH(player, Availability!$1:$1, 0))))), ""U"") + COUNTIFS(MAP(FILTER($H$1:$K$1, $H$1:$K$1 &lt;&gt; """"), LAMBDA(player, IFNA(INDEX(Availability!$A:$AAA, MATCH($A64, Availability!$A:$A, 0), MAT"&amp;"CH(player, Availability!$1:$1, 0))))), ""R"")"),1.0)</f>
        <v>1</v>
      </c>
      <c r="C64" s="120">
        <f t="shared" si="1"/>
        <v>0.75</v>
      </c>
      <c r="D64" s="119" t="str">
        <f>IFERROR(__xludf.DUMMYFUNCTION("SPARKLINE(C64, {""charttype"", ""bar""; ""max"", 1; ""color1"", IF(C64 &lt; 0.5, ""red"", IF(C64 &lt; 0.75, ""orange"", ""green""))})"),"")</f>
        <v/>
      </c>
      <c r="E64" s="121" t="str">
        <f>IFERROR(__xludf.DUMMYFUNCTION("IFERROR(TEXTJOIN("", "", TRUE, FILTER(FILTER($H$1:$K$1, $H$1:$K$1 &lt;&gt; """"), (MAP(FILTER($H$1:$K$1, $H$1:$K$1 &lt;&gt; """"), LAMBDA(player, IFNA(INDEX(Availability!$A:$AAA, MATCH($A64, Availability!$A:$A, 0), MATCH(player, Availability!$1:$1, 0))))) = ""U""))))"),"Grace Webster")</f>
        <v>Grace Webster</v>
      </c>
      <c r="F64" s="121" t="str">
        <f>IFERROR(__xludf.DUMMYFUNCTION("IFERROR(TEXTJOIN("", "", TRUE, FILTER(FILTER($H$1:$K$1, $H$1:$K$1 &lt;&gt; """"), (MAP(FILTER($H$1:$K$1, $H$1:$K$1 &lt;&gt; """"), LAMBDA(player, IFNA(INDEX(Availability!$A:$AAA, MATCH($A64, Availability!$A:$A, 0), MATCH(player, Availability!$1:$1, 0))))) = ""X""))))"),"")</f>
        <v/>
      </c>
      <c r="G64" s="121" t="str">
        <f>IFERROR(__xludf.DUMMYFUNCTION("IFERROR(TEXTJOIN("", "", TRUE, FILTER(FILTER($H$1:$K$1, $H$1:$K$1 &lt;&gt; """"), (MAP(FILTER($H$1:$K$1, $H$1:$K$1 &lt;&gt; """"), LAMBDA(player, IFNA(INDEX(Availability!$A:$AAA, MATCH($A64, Availability!$A:$A, 0), MATCH(player, Availability!$1:$1, 0))))) = ""R""))))"),"")</f>
        <v/>
      </c>
    </row>
    <row r="65">
      <c r="A65" s="118">
        <f t="shared" si="2"/>
        <v>46005</v>
      </c>
      <c r="B65" s="119">
        <f>IFERROR(__xludf.DUMMYFUNCTION("COUNTIFS(MAP(FILTER($H$1:$K$1, $H$1:$K$1 &lt;&gt; """"), LAMBDA(player, IFNA(INDEX(Availability!$A:$AAA, MATCH($A65, Availability!$A:$A, 0), MATCH(player, Availability!$1:$1, 0))))), ""X"") + COUNTIFS(MAP(FILTER($H$1:$K$1, $H$1:$K$1 &lt;&gt; """"), LAMBDA(player, IFN"&amp;"A(INDEX(Availability!$A:$AAA, MATCH($A65, Availability!$A:$A, 0), MATCH(player, Availability!$1:$1, 0))))), ""U"") + COUNTIFS(MAP(FILTER($H$1:$K$1, $H$1:$K$1 &lt;&gt; """"), LAMBDA(player, IFNA(INDEX(Availability!$A:$AAA, MATCH($A65, Availability!$A:$A, 0), MAT"&amp;"CH(player, Availability!$1:$1, 0))))), ""R"")"),1.0)</f>
        <v>1</v>
      </c>
      <c r="C65" s="120">
        <f t="shared" si="1"/>
        <v>0.75</v>
      </c>
      <c r="D65" s="119" t="str">
        <f>IFERROR(__xludf.DUMMYFUNCTION("SPARKLINE(C65, {""charttype"", ""bar""; ""max"", 1; ""color1"", IF(C65 &lt; 0.5, ""red"", IF(C65 &lt; 0.75, ""orange"", ""green""))})"),"")</f>
        <v/>
      </c>
      <c r="E65" s="121" t="str">
        <f>IFERROR(__xludf.DUMMYFUNCTION("IFERROR(TEXTJOIN("", "", TRUE, FILTER(FILTER($H$1:$K$1, $H$1:$K$1 &lt;&gt; """"), (MAP(FILTER($H$1:$K$1, $H$1:$K$1 &lt;&gt; """"), LAMBDA(player, IFNA(INDEX(Availability!$A:$AAA, MATCH($A65, Availability!$A:$A, 0), MATCH(player, Availability!$1:$1, 0))))) = ""U""))))"),"Grace Webster")</f>
        <v>Grace Webster</v>
      </c>
      <c r="F65" s="121" t="str">
        <f>IFERROR(__xludf.DUMMYFUNCTION("IFERROR(TEXTJOIN("", "", TRUE, FILTER(FILTER($H$1:$K$1, $H$1:$K$1 &lt;&gt; """"), (MAP(FILTER($H$1:$K$1, $H$1:$K$1 &lt;&gt; """"), LAMBDA(player, IFNA(INDEX(Availability!$A:$AAA, MATCH($A65, Availability!$A:$A, 0), MATCH(player, Availability!$1:$1, 0))))) = ""X""))))"),"")</f>
        <v/>
      </c>
      <c r="G65" s="121" t="str">
        <f>IFERROR(__xludf.DUMMYFUNCTION("IFERROR(TEXTJOIN("", "", TRUE, FILTER(FILTER($H$1:$K$1, $H$1:$K$1 &lt;&gt; """"), (MAP(FILTER($H$1:$K$1, $H$1:$K$1 &lt;&gt; """"), LAMBDA(player, IFNA(INDEX(Availability!$A:$AAA, MATCH($A65, Availability!$A:$A, 0), MATCH(player, Availability!$1:$1, 0))))) = ""R""))))"),"")</f>
        <v/>
      </c>
    </row>
    <row r="66">
      <c r="A66" s="118">
        <f t="shared" si="2"/>
        <v>46006</v>
      </c>
      <c r="B66" s="119">
        <f>IFERROR(__xludf.DUMMYFUNCTION("COUNTIFS(MAP(FILTER($H$1:$K$1, $H$1:$K$1 &lt;&gt; """"), LAMBDA(player, IFNA(INDEX(Availability!$A:$AAA, MATCH($A66, Availability!$A:$A, 0), MATCH(player, Availability!$1:$1, 0))))), ""X"") + COUNTIFS(MAP(FILTER($H$1:$K$1, $H$1:$K$1 &lt;&gt; """"), LAMBDA(player, IFN"&amp;"A(INDEX(Availability!$A:$AAA, MATCH($A66, Availability!$A:$A, 0), MATCH(player, Availability!$1:$1, 0))))), ""U"") + COUNTIFS(MAP(FILTER($H$1:$K$1, $H$1:$K$1 &lt;&gt; """"), LAMBDA(player, IFNA(INDEX(Availability!$A:$AAA, MATCH($A66, Availability!$A:$A, 0), MAT"&amp;"CH(player, Availability!$1:$1, 0))))), ""R"")"),0.0)</f>
        <v>0</v>
      </c>
      <c r="C66" s="120">
        <f t="shared" si="1"/>
        <v>1</v>
      </c>
      <c r="D66" s="119" t="str">
        <f>IFERROR(__xludf.DUMMYFUNCTION("SPARKLINE(C66, {""charttype"", ""bar""; ""max"", 1; ""color1"", IF(C66 &lt; 0.5, ""red"", IF(C66 &lt; 0.75, ""orange"", ""green""))})"),"")</f>
        <v/>
      </c>
      <c r="E66" s="121" t="str">
        <f>IFERROR(__xludf.DUMMYFUNCTION("IFERROR(TEXTJOIN("", "", TRUE, FILTER(FILTER($H$1:$K$1, $H$1:$K$1 &lt;&gt; """"), (MAP(FILTER($H$1:$K$1, $H$1:$K$1 &lt;&gt; """"), LAMBDA(player, IFNA(INDEX(Availability!$A:$AAA, MATCH($A66, Availability!$A:$A, 0), MATCH(player, Availability!$1:$1, 0))))) = ""U""))))"),"")</f>
        <v/>
      </c>
      <c r="F66" s="121" t="str">
        <f>IFERROR(__xludf.DUMMYFUNCTION("IFERROR(TEXTJOIN("", "", TRUE, FILTER(FILTER($H$1:$K$1, $H$1:$K$1 &lt;&gt; """"), (MAP(FILTER($H$1:$K$1, $H$1:$K$1 &lt;&gt; """"), LAMBDA(player, IFNA(INDEX(Availability!$A:$AAA, MATCH($A66, Availability!$A:$A, 0), MATCH(player, Availability!$1:$1, 0))))) = ""X""))))"),"")</f>
        <v/>
      </c>
      <c r="G66" s="121" t="str">
        <f>IFERROR(__xludf.DUMMYFUNCTION("IFERROR(TEXTJOIN("", "", TRUE, FILTER(FILTER($H$1:$K$1, $H$1:$K$1 &lt;&gt; """"), (MAP(FILTER($H$1:$K$1, $H$1:$K$1 &lt;&gt; """"), LAMBDA(player, IFNA(INDEX(Availability!$A:$AAA, MATCH($A66, Availability!$A:$A, 0), MATCH(player, Availability!$1:$1, 0))))) = ""R""))))"),"")</f>
        <v/>
      </c>
    </row>
    <row r="67">
      <c r="A67" s="118">
        <f t="shared" si="2"/>
        <v>46007</v>
      </c>
      <c r="B67" s="119">
        <f>IFERROR(__xludf.DUMMYFUNCTION("COUNTIFS(MAP(FILTER($H$1:$K$1, $H$1:$K$1 &lt;&gt; """"), LAMBDA(player, IFNA(INDEX(Availability!$A:$AAA, MATCH($A67, Availability!$A:$A, 0), MATCH(player, Availability!$1:$1, 0))))), ""X"") + COUNTIFS(MAP(FILTER($H$1:$K$1, $H$1:$K$1 &lt;&gt; """"), LAMBDA(player, IFN"&amp;"A(INDEX(Availability!$A:$AAA, MATCH($A67, Availability!$A:$A, 0), MATCH(player, Availability!$1:$1, 0))))), ""U"") + COUNTIFS(MAP(FILTER($H$1:$K$1, $H$1:$K$1 &lt;&gt; """"), LAMBDA(player, IFNA(INDEX(Availability!$A:$AAA, MATCH($A67, Availability!$A:$A, 0), MAT"&amp;"CH(player, Availability!$1:$1, 0))))), ""R"")"),0.0)</f>
        <v>0</v>
      </c>
      <c r="C67" s="120">
        <f t="shared" si="1"/>
        <v>1</v>
      </c>
      <c r="D67" s="119" t="str">
        <f>IFERROR(__xludf.DUMMYFUNCTION("SPARKLINE(C67, {""charttype"", ""bar""; ""max"", 1; ""color1"", IF(C67 &lt; 0.5, ""red"", IF(C67 &lt; 0.75, ""orange"", ""green""))})"),"")</f>
        <v/>
      </c>
      <c r="E67" s="121" t="str">
        <f>IFERROR(__xludf.DUMMYFUNCTION("IFERROR(TEXTJOIN("", "", TRUE, FILTER(FILTER($H$1:$K$1, $H$1:$K$1 &lt;&gt; """"), (MAP(FILTER($H$1:$K$1, $H$1:$K$1 &lt;&gt; """"), LAMBDA(player, IFNA(INDEX(Availability!$A:$AAA, MATCH($A67, Availability!$A:$A, 0), MATCH(player, Availability!$1:$1, 0))))) = ""U""))))"),"")</f>
        <v/>
      </c>
      <c r="F67" s="121" t="str">
        <f>IFERROR(__xludf.DUMMYFUNCTION("IFERROR(TEXTJOIN("", "", TRUE, FILTER(FILTER($H$1:$K$1, $H$1:$K$1 &lt;&gt; """"), (MAP(FILTER($H$1:$K$1, $H$1:$K$1 &lt;&gt; """"), LAMBDA(player, IFNA(INDEX(Availability!$A:$AAA, MATCH($A67, Availability!$A:$A, 0), MATCH(player, Availability!$1:$1, 0))))) = ""X""))))"),"")</f>
        <v/>
      </c>
      <c r="G67" s="121" t="str">
        <f>IFERROR(__xludf.DUMMYFUNCTION("IFERROR(TEXTJOIN("", "", TRUE, FILTER(FILTER($H$1:$K$1, $H$1:$K$1 &lt;&gt; """"), (MAP(FILTER($H$1:$K$1, $H$1:$K$1 &lt;&gt; """"), LAMBDA(player, IFNA(INDEX(Availability!$A:$AAA, MATCH($A67, Availability!$A:$A, 0), MATCH(player, Availability!$1:$1, 0))))) = ""R""))))"),"")</f>
        <v/>
      </c>
    </row>
    <row r="68">
      <c r="A68" s="118">
        <f t="shared" si="2"/>
        <v>46008</v>
      </c>
      <c r="B68" s="119">
        <f>IFERROR(__xludf.DUMMYFUNCTION("COUNTIFS(MAP(FILTER($H$1:$K$1, $H$1:$K$1 &lt;&gt; """"), LAMBDA(player, IFNA(INDEX(Availability!$A:$AAA, MATCH($A68, Availability!$A:$A, 0), MATCH(player, Availability!$1:$1, 0))))), ""X"") + COUNTIFS(MAP(FILTER($H$1:$K$1, $H$1:$K$1 &lt;&gt; """"), LAMBDA(player, IFN"&amp;"A(INDEX(Availability!$A:$AAA, MATCH($A68, Availability!$A:$A, 0), MATCH(player, Availability!$1:$1, 0))))), ""U"") + COUNTIFS(MAP(FILTER($H$1:$K$1, $H$1:$K$1 &lt;&gt; """"), LAMBDA(player, IFNA(INDEX(Availability!$A:$AAA, MATCH($A68, Availability!$A:$A, 0), MAT"&amp;"CH(player, Availability!$1:$1, 0))))), ""R"")"),1.0)</f>
        <v>1</v>
      </c>
      <c r="C68" s="120">
        <f t="shared" si="1"/>
        <v>0.75</v>
      </c>
      <c r="D68" s="119" t="str">
        <f>IFERROR(__xludf.DUMMYFUNCTION("SPARKLINE(C68, {""charttype"", ""bar""; ""max"", 1; ""color1"", IF(C68 &lt; 0.5, ""red"", IF(C68 &lt; 0.75, ""orange"", ""green""))})"),"")</f>
        <v/>
      </c>
      <c r="E68" s="121" t="str">
        <f>IFERROR(__xludf.DUMMYFUNCTION("IFERROR(TEXTJOIN("", "", TRUE, FILTER(FILTER($H$1:$K$1, $H$1:$K$1 &lt;&gt; """"), (MAP(FILTER($H$1:$K$1, $H$1:$K$1 &lt;&gt; """"), LAMBDA(player, IFNA(INDEX(Availability!$A:$AAA, MATCH($A68, Availability!$A:$A, 0), MATCH(player, Availability!$1:$1, 0))))) = ""U""))))"),"Grace Webster")</f>
        <v>Grace Webster</v>
      </c>
      <c r="F68" s="121" t="str">
        <f>IFERROR(__xludf.DUMMYFUNCTION("IFERROR(TEXTJOIN("", "", TRUE, FILTER(FILTER($H$1:$K$1, $H$1:$K$1 &lt;&gt; """"), (MAP(FILTER($H$1:$K$1, $H$1:$K$1 &lt;&gt; """"), LAMBDA(player, IFNA(INDEX(Availability!$A:$AAA, MATCH($A68, Availability!$A:$A, 0), MATCH(player, Availability!$1:$1, 0))))) = ""X""))))"),"")</f>
        <v/>
      </c>
      <c r="G68" s="121" t="str">
        <f>IFERROR(__xludf.DUMMYFUNCTION("IFERROR(TEXTJOIN("", "", TRUE, FILTER(FILTER($H$1:$K$1, $H$1:$K$1 &lt;&gt; """"), (MAP(FILTER($H$1:$K$1, $H$1:$K$1 &lt;&gt; """"), LAMBDA(player, IFNA(INDEX(Availability!$A:$AAA, MATCH($A68, Availability!$A:$A, 0), MATCH(player, Availability!$1:$1, 0))))) = ""R""))))"),"")</f>
        <v/>
      </c>
    </row>
    <row r="69">
      <c r="A69" s="118">
        <f t="shared" si="2"/>
        <v>46009</v>
      </c>
      <c r="B69" s="119">
        <f>IFERROR(__xludf.DUMMYFUNCTION("COUNTIFS(MAP(FILTER($H$1:$K$1, $H$1:$K$1 &lt;&gt; """"), LAMBDA(player, IFNA(INDEX(Availability!$A:$AAA, MATCH($A69, Availability!$A:$A, 0), MATCH(player, Availability!$1:$1, 0))))), ""X"") + COUNTIFS(MAP(FILTER($H$1:$K$1, $H$1:$K$1 &lt;&gt; """"), LAMBDA(player, IFN"&amp;"A(INDEX(Availability!$A:$AAA, MATCH($A69, Availability!$A:$A, 0), MATCH(player, Availability!$1:$1, 0))))), ""U"") + COUNTIFS(MAP(FILTER($H$1:$K$1, $H$1:$K$1 &lt;&gt; """"), LAMBDA(player, IFNA(INDEX(Availability!$A:$AAA, MATCH($A69, Availability!$A:$A, 0), MAT"&amp;"CH(player, Availability!$1:$1, 0))))), ""R"")"),0.0)</f>
        <v>0</v>
      </c>
      <c r="C69" s="120">
        <f t="shared" si="1"/>
        <v>1</v>
      </c>
      <c r="D69" s="119" t="str">
        <f>IFERROR(__xludf.DUMMYFUNCTION("SPARKLINE(C69, {""charttype"", ""bar""; ""max"", 1; ""color1"", IF(C69 &lt; 0.5, ""red"", IF(C69 &lt; 0.75, ""orange"", ""green""))})"),"")</f>
        <v/>
      </c>
      <c r="E69" s="121" t="str">
        <f>IFERROR(__xludf.DUMMYFUNCTION("IFERROR(TEXTJOIN("", "", TRUE, FILTER(FILTER($H$1:$K$1, $H$1:$K$1 &lt;&gt; """"), (MAP(FILTER($H$1:$K$1, $H$1:$K$1 &lt;&gt; """"), LAMBDA(player, IFNA(INDEX(Availability!$A:$AAA, MATCH($A69, Availability!$A:$A, 0), MATCH(player, Availability!$1:$1, 0))))) = ""U""))))"),"")</f>
        <v/>
      </c>
      <c r="F69" s="121" t="str">
        <f>IFERROR(__xludf.DUMMYFUNCTION("IFERROR(TEXTJOIN("", "", TRUE, FILTER(FILTER($H$1:$K$1, $H$1:$K$1 &lt;&gt; """"), (MAP(FILTER($H$1:$K$1, $H$1:$K$1 &lt;&gt; """"), LAMBDA(player, IFNA(INDEX(Availability!$A:$AAA, MATCH($A69, Availability!$A:$A, 0), MATCH(player, Availability!$1:$1, 0))))) = ""X""))))"),"")</f>
        <v/>
      </c>
      <c r="G69" s="121" t="str">
        <f>IFERROR(__xludf.DUMMYFUNCTION("IFERROR(TEXTJOIN("", "", TRUE, FILTER(FILTER($H$1:$K$1, $H$1:$K$1 &lt;&gt; """"), (MAP(FILTER($H$1:$K$1, $H$1:$K$1 &lt;&gt; """"), LAMBDA(player, IFNA(INDEX(Availability!$A:$AAA, MATCH($A69, Availability!$A:$A, 0), MATCH(player, Availability!$1:$1, 0))))) = ""R""))))"),"")</f>
        <v/>
      </c>
    </row>
    <row r="70">
      <c r="A70" s="118">
        <f t="shared" si="2"/>
        <v>46010</v>
      </c>
      <c r="B70" s="119">
        <f>IFERROR(__xludf.DUMMYFUNCTION("COUNTIFS(MAP(FILTER($H$1:$K$1, $H$1:$K$1 &lt;&gt; """"), LAMBDA(player, IFNA(INDEX(Availability!$A:$AAA, MATCH($A70, Availability!$A:$A, 0), MATCH(player, Availability!$1:$1, 0))))), ""X"") + COUNTIFS(MAP(FILTER($H$1:$K$1, $H$1:$K$1 &lt;&gt; """"), LAMBDA(player, IFN"&amp;"A(INDEX(Availability!$A:$AAA, MATCH($A70, Availability!$A:$A, 0), MATCH(player, Availability!$1:$1, 0))))), ""U"") + COUNTIFS(MAP(FILTER($H$1:$K$1, $H$1:$K$1 &lt;&gt; """"), LAMBDA(player, IFNA(INDEX(Availability!$A:$AAA, MATCH($A70, Availability!$A:$A, 0), MAT"&amp;"CH(player, Availability!$1:$1, 0))))), ""R"")"),0.0)</f>
        <v>0</v>
      </c>
      <c r="C70" s="120">
        <f t="shared" si="1"/>
        <v>1</v>
      </c>
      <c r="D70" s="119" t="str">
        <f>IFERROR(__xludf.DUMMYFUNCTION("SPARKLINE(C70, {""charttype"", ""bar""; ""max"", 1; ""color1"", IF(C70 &lt; 0.5, ""red"", IF(C70 &lt; 0.75, ""orange"", ""green""))})"),"")</f>
        <v/>
      </c>
      <c r="E70" s="121" t="str">
        <f>IFERROR(__xludf.DUMMYFUNCTION("IFERROR(TEXTJOIN("", "", TRUE, FILTER(FILTER($H$1:$K$1, $H$1:$K$1 &lt;&gt; """"), (MAP(FILTER($H$1:$K$1, $H$1:$K$1 &lt;&gt; """"), LAMBDA(player, IFNA(INDEX(Availability!$A:$AAA, MATCH($A70, Availability!$A:$A, 0), MATCH(player, Availability!$1:$1, 0))))) = ""U""))))"),"")</f>
        <v/>
      </c>
      <c r="F70" s="121" t="str">
        <f>IFERROR(__xludf.DUMMYFUNCTION("IFERROR(TEXTJOIN("", "", TRUE, FILTER(FILTER($H$1:$K$1, $H$1:$K$1 &lt;&gt; """"), (MAP(FILTER($H$1:$K$1, $H$1:$K$1 &lt;&gt; """"), LAMBDA(player, IFNA(INDEX(Availability!$A:$AAA, MATCH($A70, Availability!$A:$A, 0), MATCH(player, Availability!$1:$1, 0))))) = ""X""))))"),"")</f>
        <v/>
      </c>
      <c r="G70" s="121" t="str">
        <f>IFERROR(__xludf.DUMMYFUNCTION("IFERROR(TEXTJOIN("", "", TRUE, FILTER(FILTER($H$1:$K$1, $H$1:$K$1 &lt;&gt; """"), (MAP(FILTER($H$1:$K$1, $H$1:$K$1 &lt;&gt; """"), LAMBDA(player, IFNA(INDEX(Availability!$A:$AAA, MATCH($A70, Availability!$A:$A, 0), MATCH(player, Availability!$1:$1, 0))))) = ""R""))))"),"")</f>
        <v/>
      </c>
    </row>
    <row r="71">
      <c r="A71" s="118">
        <f t="shared" si="2"/>
        <v>46011</v>
      </c>
      <c r="B71" s="119">
        <f>IFERROR(__xludf.DUMMYFUNCTION("COUNTIFS(MAP(FILTER($H$1:$K$1, $H$1:$K$1 &lt;&gt; """"), LAMBDA(player, IFNA(INDEX(Availability!$A:$AAA, MATCH($A71, Availability!$A:$A, 0), MATCH(player, Availability!$1:$1, 0))))), ""X"") + COUNTIFS(MAP(FILTER($H$1:$K$1, $H$1:$K$1 &lt;&gt; """"), LAMBDA(player, IFN"&amp;"A(INDEX(Availability!$A:$AAA, MATCH($A71, Availability!$A:$A, 0), MATCH(player, Availability!$1:$1, 0))))), ""U"") + COUNTIFS(MAP(FILTER($H$1:$K$1, $H$1:$K$1 &lt;&gt; """"), LAMBDA(player, IFNA(INDEX(Availability!$A:$AAA, MATCH($A71, Availability!$A:$A, 0), MAT"&amp;"CH(player, Availability!$1:$1, 0))))), ""R"")"),0.0)</f>
        <v>0</v>
      </c>
      <c r="C71" s="120">
        <f t="shared" si="1"/>
        <v>1</v>
      </c>
      <c r="D71" s="119" t="str">
        <f>IFERROR(__xludf.DUMMYFUNCTION("SPARKLINE(C71, {""charttype"", ""bar""; ""max"", 1; ""color1"", IF(C71 &lt; 0.5, ""red"", IF(C71 &lt; 0.75, ""orange"", ""green""))})"),"")</f>
        <v/>
      </c>
      <c r="E71" s="121" t="str">
        <f>IFERROR(__xludf.DUMMYFUNCTION("IFERROR(TEXTJOIN("", "", TRUE, FILTER(FILTER($H$1:$K$1, $H$1:$K$1 &lt;&gt; """"), (MAP(FILTER($H$1:$K$1, $H$1:$K$1 &lt;&gt; """"), LAMBDA(player, IFNA(INDEX(Availability!$A:$AAA, MATCH($A71, Availability!$A:$A, 0), MATCH(player, Availability!$1:$1, 0))))) = ""U""))))"),"")</f>
        <v/>
      </c>
      <c r="F71" s="121" t="str">
        <f>IFERROR(__xludf.DUMMYFUNCTION("IFERROR(TEXTJOIN("", "", TRUE, FILTER(FILTER($H$1:$K$1, $H$1:$K$1 &lt;&gt; """"), (MAP(FILTER($H$1:$K$1, $H$1:$K$1 &lt;&gt; """"), LAMBDA(player, IFNA(INDEX(Availability!$A:$AAA, MATCH($A71, Availability!$A:$A, 0), MATCH(player, Availability!$1:$1, 0))))) = ""X""))))"),"")</f>
        <v/>
      </c>
      <c r="G71" s="121" t="str">
        <f>IFERROR(__xludf.DUMMYFUNCTION("IFERROR(TEXTJOIN("", "", TRUE, FILTER(FILTER($H$1:$K$1, $H$1:$K$1 &lt;&gt; """"), (MAP(FILTER($H$1:$K$1, $H$1:$K$1 &lt;&gt; """"), LAMBDA(player, IFNA(INDEX(Availability!$A:$AAA, MATCH($A71, Availability!$A:$A, 0), MATCH(player, Availability!$1:$1, 0))))) = ""R""))))"),"")</f>
        <v/>
      </c>
    </row>
    <row r="72">
      <c r="A72" s="118">
        <f t="shared" si="2"/>
        <v>46012</v>
      </c>
      <c r="B72" s="119">
        <f>IFERROR(__xludf.DUMMYFUNCTION("COUNTIFS(MAP(FILTER($H$1:$K$1, $H$1:$K$1 &lt;&gt; """"), LAMBDA(player, IFNA(INDEX(Availability!$A:$AAA, MATCH($A72, Availability!$A:$A, 0), MATCH(player, Availability!$1:$1, 0))))), ""X"") + COUNTIFS(MAP(FILTER($H$1:$K$1, $H$1:$K$1 &lt;&gt; """"), LAMBDA(player, IFN"&amp;"A(INDEX(Availability!$A:$AAA, MATCH($A72, Availability!$A:$A, 0), MATCH(player, Availability!$1:$1, 0))))), ""U"") + COUNTIFS(MAP(FILTER($H$1:$K$1, $H$1:$K$1 &lt;&gt; """"), LAMBDA(player, IFNA(INDEX(Availability!$A:$AAA, MATCH($A72, Availability!$A:$A, 0), MAT"&amp;"CH(player, Availability!$1:$1, 0))))), ""R"")"),0.0)</f>
        <v>0</v>
      </c>
      <c r="C72" s="120">
        <f t="shared" si="1"/>
        <v>1</v>
      </c>
      <c r="D72" s="119" t="str">
        <f>IFERROR(__xludf.DUMMYFUNCTION("SPARKLINE(C72, {""charttype"", ""bar""; ""max"", 1; ""color1"", IF(C72 &lt; 0.5, ""red"", IF(C72 &lt; 0.75, ""orange"", ""green""))})"),"")</f>
        <v/>
      </c>
      <c r="E72" s="121" t="str">
        <f>IFERROR(__xludf.DUMMYFUNCTION("IFERROR(TEXTJOIN("", "", TRUE, FILTER(FILTER($H$1:$K$1, $H$1:$K$1 &lt;&gt; """"), (MAP(FILTER($H$1:$K$1, $H$1:$K$1 &lt;&gt; """"), LAMBDA(player, IFNA(INDEX(Availability!$A:$AAA, MATCH($A72, Availability!$A:$A, 0), MATCH(player, Availability!$1:$1, 0))))) = ""U""))))"),"")</f>
        <v/>
      </c>
      <c r="F72" s="121" t="str">
        <f>IFERROR(__xludf.DUMMYFUNCTION("IFERROR(TEXTJOIN("", "", TRUE, FILTER(FILTER($H$1:$K$1, $H$1:$K$1 &lt;&gt; """"), (MAP(FILTER($H$1:$K$1, $H$1:$K$1 &lt;&gt; """"), LAMBDA(player, IFNA(INDEX(Availability!$A:$AAA, MATCH($A72, Availability!$A:$A, 0), MATCH(player, Availability!$1:$1, 0))))) = ""X""))))"),"")</f>
        <v/>
      </c>
      <c r="G72" s="121" t="str">
        <f>IFERROR(__xludf.DUMMYFUNCTION("IFERROR(TEXTJOIN("", "", TRUE, FILTER(FILTER($H$1:$K$1, $H$1:$K$1 &lt;&gt; """"), (MAP(FILTER($H$1:$K$1, $H$1:$K$1 &lt;&gt; """"), LAMBDA(player, IFNA(INDEX(Availability!$A:$AAA, MATCH($A72, Availability!$A:$A, 0), MATCH(player, Availability!$1:$1, 0))))) = ""R""))))"),"")</f>
        <v/>
      </c>
    </row>
    <row r="73">
      <c r="A73" s="118">
        <f t="shared" si="2"/>
        <v>46013</v>
      </c>
      <c r="B73" s="119">
        <f>IFERROR(__xludf.DUMMYFUNCTION("COUNTIFS(MAP(FILTER($H$1:$K$1, $H$1:$K$1 &lt;&gt; """"), LAMBDA(player, IFNA(INDEX(Availability!$A:$AAA, MATCH($A73, Availability!$A:$A, 0), MATCH(player, Availability!$1:$1, 0))))), ""X"") + COUNTIFS(MAP(FILTER($H$1:$K$1, $H$1:$K$1 &lt;&gt; """"), LAMBDA(player, IFN"&amp;"A(INDEX(Availability!$A:$AAA, MATCH($A73, Availability!$A:$A, 0), MATCH(player, Availability!$1:$1, 0))))), ""U"") + COUNTIFS(MAP(FILTER($H$1:$K$1, $H$1:$K$1 &lt;&gt; """"), LAMBDA(player, IFNA(INDEX(Availability!$A:$AAA, MATCH($A73, Availability!$A:$A, 0), MAT"&amp;"CH(player, Availability!$1:$1, 0))))), ""R"")"),0.0)</f>
        <v>0</v>
      </c>
      <c r="C73" s="120">
        <f t="shared" si="1"/>
        <v>1</v>
      </c>
      <c r="D73" s="119" t="str">
        <f>IFERROR(__xludf.DUMMYFUNCTION("SPARKLINE(C73, {""charttype"", ""bar""; ""max"", 1; ""color1"", IF(C73 &lt; 0.5, ""red"", IF(C73 &lt; 0.75, ""orange"", ""green""))})"),"")</f>
        <v/>
      </c>
      <c r="E73" s="121" t="str">
        <f>IFERROR(__xludf.DUMMYFUNCTION("IFERROR(TEXTJOIN("", "", TRUE, FILTER(FILTER($H$1:$K$1, $H$1:$K$1 &lt;&gt; """"), (MAP(FILTER($H$1:$K$1, $H$1:$K$1 &lt;&gt; """"), LAMBDA(player, IFNA(INDEX(Availability!$A:$AAA, MATCH($A73, Availability!$A:$A, 0), MATCH(player, Availability!$1:$1, 0))))) = ""U""))))"),"")</f>
        <v/>
      </c>
      <c r="F73" s="121" t="str">
        <f>IFERROR(__xludf.DUMMYFUNCTION("IFERROR(TEXTJOIN("", "", TRUE, FILTER(FILTER($H$1:$K$1, $H$1:$K$1 &lt;&gt; """"), (MAP(FILTER($H$1:$K$1, $H$1:$K$1 &lt;&gt; """"), LAMBDA(player, IFNA(INDEX(Availability!$A:$AAA, MATCH($A73, Availability!$A:$A, 0), MATCH(player, Availability!$1:$1, 0))))) = ""X""))))"),"")</f>
        <v/>
      </c>
      <c r="G73" s="121" t="str">
        <f>IFERROR(__xludf.DUMMYFUNCTION("IFERROR(TEXTJOIN("", "", TRUE, FILTER(FILTER($H$1:$K$1, $H$1:$K$1 &lt;&gt; """"), (MAP(FILTER($H$1:$K$1, $H$1:$K$1 &lt;&gt; """"), LAMBDA(player, IFNA(INDEX(Availability!$A:$AAA, MATCH($A73, Availability!$A:$A, 0), MATCH(player, Availability!$1:$1, 0))))) = ""R""))))"),"")</f>
        <v/>
      </c>
    </row>
    <row r="74">
      <c r="A74" s="118">
        <f t="shared" si="2"/>
        <v>46014</v>
      </c>
      <c r="B74" s="119">
        <f>IFERROR(__xludf.DUMMYFUNCTION("COUNTIFS(MAP(FILTER($H$1:$K$1, $H$1:$K$1 &lt;&gt; """"), LAMBDA(player, IFNA(INDEX(Availability!$A:$AAA, MATCH($A74, Availability!$A:$A, 0), MATCH(player, Availability!$1:$1, 0))))), ""X"") + COUNTIFS(MAP(FILTER($H$1:$K$1, $H$1:$K$1 &lt;&gt; """"), LAMBDA(player, IFN"&amp;"A(INDEX(Availability!$A:$AAA, MATCH($A74, Availability!$A:$A, 0), MATCH(player, Availability!$1:$1, 0))))), ""U"") + COUNTIFS(MAP(FILTER($H$1:$K$1, $H$1:$K$1 &lt;&gt; """"), LAMBDA(player, IFNA(INDEX(Availability!$A:$AAA, MATCH($A74, Availability!$A:$A, 0), MAT"&amp;"CH(player, Availability!$1:$1, 0))))), ""R"")"),0.0)</f>
        <v>0</v>
      </c>
      <c r="C74" s="120">
        <f t="shared" si="1"/>
        <v>1</v>
      </c>
      <c r="D74" s="119" t="str">
        <f>IFERROR(__xludf.DUMMYFUNCTION("SPARKLINE(C74, {""charttype"", ""bar""; ""max"", 1; ""color1"", IF(C74 &lt; 0.5, ""red"", IF(C74 &lt; 0.75, ""orange"", ""green""))})"),"")</f>
        <v/>
      </c>
      <c r="E74" s="121" t="str">
        <f>IFERROR(__xludf.DUMMYFUNCTION("IFERROR(TEXTJOIN("", "", TRUE, FILTER(FILTER($H$1:$K$1, $H$1:$K$1 &lt;&gt; """"), (MAP(FILTER($H$1:$K$1, $H$1:$K$1 &lt;&gt; """"), LAMBDA(player, IFNA(INDEX(Availability!$A:$AAA, MATCH($A74, Availability!$A:$A, 0), MATCH(player, Availability!$1:$1, 0))))) = ""U""))))"),"")</f>
        <v/>
      </c>
      <c r="F74" s="121" t="str">
        <f>IFERROR(__xludf.DUMMYFUNCTION("IFERROR(TEXTJOIN("", "", TRUE, FILTER(FILTER($H$1:$K$1, $H$1:$K$1 &lt;&gt; """"), (MAP(FILTER($H$1:$K$1, $H$1:$K$1 &lt;&gt; """"), LAMBDA(player, IFNA(INDEX(Availability!$A:$AAA, MATCH($A74, Availability!$A:$A, 0), MATCH(player, Availability!$1:$1, 0))))) = ""X""))))"),"")</f>
        <v/>
      </c>
      <c r="G74" s="121" t="str">
        <f>IFERROR(__xludf.DUMMYFUNCTION("IFERROR(TEXTJOIN("", "", TRUE, FILTER(FILTER($H$1:$K$1, $H$1:$K$1 &lt;&gt; """"), (MAP(FILTER($H$1:$K$1, $H$1:$K$1 &lt;&gt; """"), LAMBDA(player, IFNA(INDEX(Availability!$A:$AAA, MATCH($A74, Availability!$A:$A, 0), MATCH(player, Availability!$1:$1, 0))))) = ""R""))))"),"")</f>
        <v/>
      </c>
    </row>
    <row r="75">
      <c r="A75" s="118">
        <f t="shared" si="2"/>
        <v>46015</v>
      </c>
      <c r="B75" s="119">
        <f>IFERROR(__xludf.DUMMYFUNCTION("COUNTIFS(MAP(FILTER($H$1:$K$1, $H$1:$K$1 &lt;&gt; """"), LAMBDA(player, IFNA(INDEX(Availability!$A:$AAA, MATCH($A75, Availability!$A:$A, 0), MATCH(player, Availability!$1:$1, 0))))), ""X"") + COUNTIFS(MAP(FILTER($H$1:$K$1, $H$1:$K$1 &lt;&gt; """"), LAMBDA(player, IFN"&amp;"A(INDEX(Availability!$A:$AAA, MATCH($A75, Availability!$A:$A, 0), MATCH(player, Availability!$1:$1, 0))))), ""U"") + COUNTIFS(MAP(FILTER($H$1:$K$1, $H$1:$K$1 &lt;&gt; """"), LAMBDA(player, IFNA(INDEX(Availability!$A:$AAA, MATCH($A75, Availability!$A:$A, 0), MAT"&amp;"CH(player, Availability!$1:$1, 0))))), ""R"")"),0.0)</f>
        <v>0</v>
      </c>
      <c r="C75" s="120">
        <f t="shared" si="1"/>
        <v>1</v>
      </c>
      <c r="D75" s="119" t="str">
        <f>IFERROR(__xludf.DUMMYFUNCTION("SPARKLINE(C75, {""charttype"", ""bar""; ""max"", 1; ""color1"", IF(C75 &lt; 0.5, ""red"", IF(C75 &lt; 0.75, ""orange"", ""green""))})"),"")</f>
        <v/>
      </c>
      <c r="E75" s="121" t="str">
        <f>IFERROR(__xludf.DUMMYFUNCTION("IFERROR(TEXTJOIN("", "", TRUE, FILTER(FILTER($H$1:$K$1, $H$1:$K$1 &lt;&gt; """"), (MAP(FILTER($H$1:$K$1, $H$1:$K$1 &lt;&gt; """"), LAMBDA(player, IFNA(INDEX(Availability!$A:$AAA, MATCH($A75, Availability!$A:$A, 0), MATCH(player, Availability!$1:$1, 0))))) = ""U""))))"),"")</f>
        <v/>
      </c>
      <c r="F75" s="121" t="str">
        <f>IFERROR(__xludf.DUMMYFUNCTION("IFERROR(TEXTJOIN("", "", TRUE, FILTER(FILTER($H$1:$K$1, $H$1:$K$1 &lt;&gt; """"), (MAP(FILTER($H$1:$K$1, $H$1:$K$1 &lt;&gt; """"), LAMBDA(player, IFNA(INDEX(Availability!$A:$AAA, MATCH($A75, Availability!$A:$A, 0), MATCH(player, Availability!$1:$1, 0))))) = ""X""))))"),"")</f>
        <v/>
      </c>
      <c r="G75" s="121" t="str">
        <f>IFERROR(__xludf.DUMMYFUNCTION("IFERROR(TEXTJOIN("", "", TRUE, FILTER(FILTER($H$1:$K$1, $H$1:$K$1 &lt;&gt; """"), (MAP(FILTER($H$1:$K$1, $H$1:$K$1 &lt;&gt; """"), LAMBDA(player, IFNA(INDEX(Availability!$A:$AAA, MATCH($A75, Availability!$A:$A, 0), MATCH(player, Availability!$1:$1, 0))))) = ""R""))))"),"")</f>
        <v/>
      </c>
    </row>
    <row r="76">
      <c r="A76" s="118">
        <f t="shared" si="2"/>
        <v>46016</v>
      </c>
      <c r="B76" s="119">
        <f>IFERROR(__xludf.DUMMYFUNCTION("COUNTIFS(MAP(FILTER($H$1:$K$1, $H$1:$K$1 &lt;&gt; """"), LAMBDA(player, IFNA(INDEX(Availability!$A:$AAA, MATCH($A76, Availability!$A:$A, 0), MATCH(player, Availability!$1:$1, 0))))), ""X"") + COUNTIFS(MAP(FILTER($H$1:$K$1, $H$1:$K$1 &lt;&gt; """"), LAMBDA(player, IFN"&amp;"A(INDEX(Availability!$A:$AAA, MATCH($A76, Availability!$A:$A, 0), MATCH(player, Availability!$1:$1, 0))))), ""U"") + COUNTIFS(MAP(FILTER($H$1:$K$1, $H$1:$K$1 &lt;&gt; """"), LAMBDA(player, IFNA(INDEX(Availability!$A:$AAA, MATCH($A76, Availability!$A:$A, 0), MAT"&amp;"CH(player, Availability!$1:$1, 0))))), ""R"")"),0.0)</f>
        <v>0</v>
      </c>
      <c r="C76" s="120">
        <f t="shared" si="1"/>
        <v>1</v>
      </c>
      <c r="D76" s="119" t="str">
        <f>IFERROR(__xludf.DUMMYFUNCTION("SPARKLINE(C76, {""charttype"", ""bar""; ""max"", 1; ""color1"", IF(C76 &lt; 0.5, ""red"", IF(C76 &lt; 0.75, ""orange"", ""green""))})"),"")</f>
        <v/>
      </c>
      <c r="E76" s="121" t="str">
        <f>IFERROR(__xludf.DUMMYFUNCTION("IFERROR(TEXTJOIN("", "", TRUE, FILTER(FILTER($H$1:$K$1, $H$1:$K$1 &lt;&gt; """"), (MAP(FILTER($H$1:$K$1, $H$1:$K$1 &lt;&gt; """"), LAMBDA(player, IFNA(INDEX(Availability!$A:$AAA, MATCH($A76, Availability!$A:$A, 0), MATCH(player, Availability!$1:$1, 0))))) = ""U""))))"),"")</f>
        <v/>
      </c>
      <c r="F76" s="121" t="str">
        <f>IFERROR(__xludf.DUMMYFUNCTION("IFERROR(TEXTJOIN("", "", TRUE, FILTER(FILTER($H$1:$K$1, $H$1:$K$1 &lt;&gt; """"), (MAP(FILTER($H$1:$K$1, $H$1:$K$1 &lt;&gt; """"), LAMBDA(player, IFNA(INDEX(Availability!$A:$AAA, MATCH($A76, Availability!$A:$A, 0), MATCH(player, Availability!$1:$1, 0))))) = ""X""))))"),"")</f>
        <v/>
      </c>
      <c r="G76" s="121" t="str">
        <f>IFERROR(__xludf.DUMMYFUNCTION("IFERROR(TEXTJOIN("", "", TRUE, FILTER(FILTER($H$1:$K$1, $H$1:$K$1 &lt;&gt; """"), (MAP(FILTER($H$1:$K$1, $H$1:$K$1 &lt;&gt; """"), LAMBDA(player, IFNA(INDEX(Availability!$A:$AAA, MATCH($A76, Availability!$A:$A, 0), MATCH(player, Availability!$1:$1, 0))))) = ""R""))))"),"")</f>
        <v/>
      </c>
    </row>
    <row r="77">
      <c r="A77" s="118">
        <f t="shared" si="2"/>
        <v>46017</v>
      </c>
      <c r="B77" s="119">
        <f>IFERROR(__xludf.DUMMYFUNCTION("COUNTIFS(MAP(FILTER($H$1:$K$1, $H$1:$K$1 &lt;&gt; """"), LAMBDA(player, IFNA(INDEX(Availability!$A:$AAA, MATCH($A77, Availability!$A:$A, 0), MATCH(player, Availability!$1:$1, 0))))), ""X"") + COUNTIFS(MAP(FILTER($H$1:$K$1, $H$1:$K$1 &lt;&gt; """"), LAMBDA(player, IFN"&amp;"A(INDEX(Availability!$A:$AAA, MATCH($A77, Availability!$A:$A, 0), MATCH(player, Availability!$1:$1, 0))))), ""U"") + COUNTIFS(MAP(FILTER($H$1:$K$1, $H$1:$K$1 &lt;&gt; """"), LAMBDA(player, IFNA(INDEX(Availability!$A:$AAA, MATCH($A77, Availability!$A:$A, 0), MAT"&amp;"CH(player, Availability!$1:$1, 0))))), ""R"")"),0.0)</f>
        <v>0</v>
      </c>
      <c r="C77" s="120">
        <f t="shared" si="1"/>
        <v>1</v>
      </c>
      <c r="D77" s="119" t="str">
        <f>IFERROR(__xludf.DUMMYFUNCTION("SPARKLINE(C77, {""charttype"", ""bar""; ""max"", 1; ""color1"", IF(C77 &lt; 0.5, ""red"", IF(C77 &lt; 0.75, ""orange"", ""green""))})"),"")</f>
        <v/>
      </c>
      <c r="E77" s="121" t="str">
        <f>IFERROR(__xludf.DUMMYFUNCTION("IFERROR(TEXTJOIN("", "", TRUE, FILTER(FILTER($H$1:$K$1, $H$1:$K$1 &lt;&gt; """"), (MAP(FILTER($H$1:$K$1, $H$1:$K$1 &lt;&gt; """"), LAMBDA(player, IFNA(INDEX(Availability!$A:$AAA, MATCH($A77, Availability!$A:$A, 0), MATCH(player, Availability!$1:$1, 0))))) = ""U""))))"),"")</f>
        <v/>
      </c>
      <c r="F77" s="121" t="str">
        <f>IFERROR(__xludf.DUMMYFUNCTION("IFERROR(TEXTJOIN("", "", TRUE, FILTER(FILTER($H$1:$K$1, $H$1:$K$1 &lt;&gt; """"), (MAP(FILTER($H$1:$K$1, $H$1:$K$1 &lt;&gt; """"), LAMBDA(player, IFNA(INDEX(Availability!$A:$AAA, MATCH($A77, Availability!$A:$A, 0), MATCH(player, Availability!$1:$1, 0))))) = ""X""))))"),"")</f>
        <v/>
      </c>
      <c r="G77" s="121" t="str">
        <f>IFERROR(__xludf.DUMMYFUNCTION("IFERROR(TEXTJOIN("", "", TRUE, FILTER(FILTER($H$1:$K$1, $H$1:$K$1 &lt;&gt; """"), (MAP(FILTER($H$1:$K$1, $H$1:$K$1 &lt;&gt; """"), LAMBDA(player, IFNA(INDEX(Availability!$A:$AAA, MATCH($A77, Availability!$A:$A, 0), MATCH(player, Availability!$1:$1, 0))))) = ""R""))))"),"")</f>
        <v/>
      </c>
    </row>
    <row r="78">
      <c r="A78" s="118">
        <f t="shared" si="2"/>
        <v>46018</v>
      </c>
      <c r="B78" s="119">
        <f>IFERROR(__xludf.DUMMYFUNCTION("COUNTIFS(MAP(FILTER($H$1:$K$1, $H$1:$K$1 &lt;&gt; """"), LAMBDA(player, IFNA(INDEX(Availability!$A:$AAA, MATCH($A78, Availability!$A:$A, 0), MATCH(player, Availability!$1:$1, 0))))), ""X"") + COUNTIFS(MAP(FILTER($H$1:$K$1, $H$1:$K$1 &lt;&gt; """"), LAMBDA(player, IFN"&amp;"A(INDEX(Availability!$A:$AAA, MATCH($A78, Availability!$A:$A, 0), MATCH(player, Availability!$1:$1, 0))))), ""U"") + COUNTIFS(MAP(FILTER($H$1:$K$1, $H$1:$K$1 &lt;&gt; """"), LAMBDA(player, IFNA(INDEX(Availability!$A:$AAA, MATCH($A78, Availability!$A:$A, 0), MAT"&amp;"CH(player, Availability!$1:$1, 0))))), ""R"")"),0.0)</f>
        <v>0</v>
      </c>
      <c r="C78" s="120">
        <f t="shared" si="1"/>
        <v>1</v>
      </c>
      <c r="D78" s="119" t="str">
        <f>IFERROR(__xludf.DUMMYFUNCTION("SPARKLINE(C78, {""charttype"", ""bar""; ""max"", 1; ""color1"", IF(C78 &lt; 0.5, ""red"", IF(C78 &lt; 0.75, ""orange"", ""green""))})"),"")</f>
        <v/>
      </c>
      <c r="E78" s="121" t="str">
        <f>IFERROR(__xludf.DUMMYFUNCTION("IFERROR(TEXTJOIN("", "", TRUE, FILTER(FILTER($H$1:$K$1, $H$1:$K$1 &lt;&gt; """"), (MAP(FILTER($H$1:$K$1, $H$1:$K$1 &lt;&gt; """"), LAMBDA(player, IFNA(INDEX(Availability!$A:$AAA, MATCH($A78, Availability!$A:$A, 0), MATCH(player, Availability!$1:$1, 0))))) = ""U""))))"),"")</f>
        <v/>
      </c>
      <c r="F78" s="121" t="str">
        <f>IFERROR(__xludf.DUMMYFUNCTION("IFERROR(TEXTJOIN("", "", TRUE, FILTER(FILTER($H$1:$K$1, $H$1:$K$1 &lt;&gt; """"), (MAP(FILTER($H$1:$K$1, $H$1:$K$1 &lt;&gt; """"), LAMBDA(player, IFNA(INDEX(Availability!$A:$AAA, MATCH($A78, Availability!$A:$A, 0), MATCH(player, Availability!$1:$1, 0))))) = ""X""))))"),"")</f>
        <v/>
      </c>
      <c r="G78" s="121" t="str">
        <f>IFERROR(__xludf.DUMMYFUNCTION("IFERROR(TEXTJOIN("", "", TRUE, FILTER(FILTER($H$1:$K$1, $H$1:$K$1 &lt;&gt; """"), (MAP(FILTER($H$1:$K$1, $H$1:$K$1 &lt;&gt; """"), LAMBDA(player, IFNA(INDEX(Availability!$A:$AAA, MATCH($A78, Availability!$A:$A, 0), MATCH(player, Availability!$1:$1, 0))))) = ""R""))))"),"")</f>
        <v/>
      </c>
    </row>
    <row r="79">
      <c r="A79" s="118">
        <f t="shared" si="2"/>
        <v>46019</v>
      </c>
      <c r="B79" s="119">
        <f>IFERROR(__xludf.DUMMYFUNCTION("COUNTIFS(MAP(FILTER($H$1:$K$1, $H$1:$K$1 &lt;&gt; """"), LAMBDA(player, IFNA(INDEX(Availability!$A:$AAA, MATCH($A79, Availability!$A:$A, 0), MATCH(player, Availability!$1:$1, 0))))), ""X"") + COUNTIFS(MAP(FILTER($H$1:$K$1, $H$1:$K$1 &lt;&gt; """"), LAMBDA(player, IFN"&amp;"A(INDEX(Availability!$A:$AAA, MATCH($A79, Availability!$A:$A, 0), MATCH(player, Availability!$1:$1, 0))))), ""U"") + COUNTIFS(MAP(FILTER($H$1:$K$1, $H$1:$K$1 &lt;&gt; """"), LAMBDA(player, IFNA(INDEX(Availability!$A:$AAA, MATCH($A79, Availability!$A:$A, 0), MAT"&amp;"CH(player, Availability!$1:$1, 0))))), ""R"")"),0.0)</f>
        <v>0</v>
      </c>
      <c r="C79" s="120">
        <f t="shared" si="1"/>
        <v>1</v>
      </c>
      <c r="D79" s="119" t="str">
        <f>IFERROR(__xludf.DUMMYFUNCTION("SPARKLINE(C79, {""charttype"", ""bar""; ""max"", 1; ""color1"", IF(C79 &lt; 0.5, ""red"", IF(C79 &lt; 0.75, ""orange"", ""green""))})"),"")</f>
        <v/>
      </c>
      <c r="E79" s="121" t="str">
        <f>IFERROR(__xludf.DUMMYFUNCTION("IFERROR(TEXTJOIN("", "", TRUE, FILTER(FILTER($H$1:$K$1, $H$1:$K$1 &lt;&gt; """"), (MAP(FILTER($H$1:$K$1, $H$1:$K$1 &lt;&gt; """"), LAMBDA(player, IFNA(INDEX(Availability!$A:$AAA, MATCH($A79, Availability!$A:$A, 0), MATCH(player, Availability!$1:$1, 0))))) = ""U""))))"),"")</f>
        <v/>
      </c>
      <c r="F79" s="121" t="str">
        <f>IFERROR(__xludf.DUMMYFUNCTION("IFERROR(TEXTJOIN("", "", TRUE, FILTER(FILTER($H$1:$K$1, $H$1:$K$1 &lt;&gt; """"), (MAP(FILTER($H$1:$K$1, $H$1:$K$1 &lt;&gt; """"), LAMBDA(player, IFNA(INDEX(Availability!$A:$AAA, MATCH($A79, Availability!$A:$A, 0), MATCH(player, Availability!$1:$1, 0))))) = ""X""))))"),"")</f>
        <v/>
      </c>
      <c r="G79" s="121" t="str">
        <f>IFERROR(__xludf.DUMMYFUNCTION("IFERROR(TEXTJOIN("", "", TRUE, FILTER(FILTER($H$1:$K$1, $H$1:$K$1 &lt;&gt; """"), (MAP(FILTER($H$1:$K$1, $H$1:$K$1 &lt;&gt; """"), LAMBDA(player, IFNA(INDEX(Availability!$A:$AAA, MATCH($A79, Availability!$A:$A, 0), MATCH(player, Availability!$1:$1, 0))))) = ""R""))))"),"")</f>
        <v/>
      </c>
    </row>
    <row r="80">
      <c r="A80" s="118">
        <f t="shared" si="2"/>
        <v>46020</v>
      </c>
      <c r="B80" s="119">
        <f>IFERROR(__xludf.DUMMYFUNCTION("COUNTIFS(MAP(FILTER($H$1:$K$1, $H$1:$K$1 &lt;&gt; """"), LAMBDA(player, IFNA(INDEX(Availability!$A:$AAA, MATCH($A80, Availability!$A:$A, 0), MATCH(player, Availability!$1:$1, 0))))), ""X"") + COUNTIFS(MAP(FILTER($H$1:$K$1, $H$1:$K$1 &lt;&gt; """"), LAMBDA(player, IFN"&amp;"A(INDEX(Availability!$A:$AAA, MATCH($A80, Availability!$A:$A, 0), MATCH(player, Availability!$1:$1, 0))))), ""U"") + COUNTIFS(MAP(FILTER($H$1:$K$1, $H$1:$K$1 &lt;&gt; """"), LAMBDA(player, IFNA(INDEX(Availability!$A:$AAA, MATCH($A80, Availability!$A:$A, 0), MAT"&amp;"CH(player, Availability!$1:$1, 0))))), ""R"")"),0.0)</f>
        <v>0</v>
      </c>
      <c r="C80" s="120">
        <f t="shared" si="1"/>
        <v>1</v>
      </c>
      <c r="D80" s="119" t="str">
        <f>IFERROR(__xludf.DUMMYFUNCTION("SPARKLINE(C80, {""charttype"", ""bar""; ""max"", 1; ""color1"", IF(C80 &lt; 0.5, ""red"", IF(C80 &lt; 0.75, ""orange"", ""green""))})"),"")</f>
        <v/>
      </c>
      <c r="E80" s="121" t="str">
        <f>IFERROR(__xludf.DUMMYFUNCTION("IFERROR(TEXTJOIN("", "", TRUE, FILTER(FILTER($H$1:$K$1, $H$1:$K$1 &lt;&gt; """"), (MAP(FILTER($H$1:$K$1, $H$1:$K$1 &lt;&gt; """"), LAMBDA(player, IFNA(INDEX(Availability!$A:$AAA, MATCH($A80, Availability!$A:$A, 0), MATCH(player, Availability!$1:$1, 0))))) = ""U""))))"),"")</f>
        <v/>
      </c>
      <c r="F80" s="121" t="str">
        <f>IFERROR(__xludf.DUMMYFUNCTION("IFERROR(TEXTJOIN("", "", TRUE, FILTER(FILTER($H$1:$K$1, $H$1:$K$1 &lt;&gt; """"), (MAP(FILTER($H$1:$K$1, $H$1:$K$1 &lt;&gt; """"), LAMBDA(player, IFNA(INDEX(Availability!$A:$AAA, MATCH($A80, Availability!$A:$A, 0), MATCH(player, Availability!$1:$1, 0))))) = ""X""))))"),"")</f>
        <v/>
      </c>
      <c r="G80" s="121" t="str">
        <f>IFERROR(__xludf.DUMMYFUNCTION("IFERROR(TEXTJOIN("", "", TRUE, FILTER(FILTER($H$1:$K$1, $H$1:$K$1 &lt;&gt; """"), (MAP(FILTER($H$1:$K$1, $H$1:$K$1 &lt;&gt; """"), LAMBDA(player, IFNA(INDEX(Availability!$A:$AAA, MATCH($A80, Availability!$A:$A, 0), MATCH(player, Availability!$1:$1, 0))))) = ""R""))))"),"")</f>
        <v/>
      </c>
    </row>
    <row r="81">
      <c r="A81" s="118">
        <f t="shared" si="2"/>
        <v>46021</v>
      </c>
      <c r="B81" s="119">
        <f>IFERROR(__xludf.DUMMYFUNCTION("COUNTIFS(MAP(FILTER($H$1:$K$1, $H$1:$K$1 &lt;&gt; """"), LAMBDA(player, IFNA(INDEX(Availability!$A:$AAA, MATCH($A81, Availability!$A:$A, 0), MATCH(player, Availability!$1:$1, 0))))), ""X"") + COUNTIFS(MAP(FILTER($H$1:$K$1, $H$1:$K$1 &lt;&gt; """"), LAMBDA(player, IFN"&amp;"A(INDEX(Availability!$A:$AAA, MATCH($A81, Availability!$A:$A, 0), MATCH(player, Availability!$1:$1, 0))))), ""U"") + COUNTIFS(MAP(FILTER($H$1:$K$1, $H$1:$K$1 &lt;&gt; """"), LAMBDA(player, IFNA(INDEX(Availability!$A:$AAA, MATCH($A81, Availability!$A:$A, 0), MAT"&amp;"CH(player, Availability!$1:$1, 0))))), ""R"")"),0.0)</f>
        <v>0</v>
      </c>
      <c r="C81" s="120">
        <f t="shared" si="1"/>
        <v>1</v>
      </c>
      <c r="D81" s="119" t="str">
        <f>IFERROR(__xludf.DUMMYFUNCTION("SPARKLINE(C81, {""charttype"", ""bar""; ""max"", 1; ""color1"", IF(C81 &lt; 0.5, ""red"", IF(C81 &lt; 0.75, ""orange"", ""green""))})"),"")</f>
        <v/>
      </c>
      <c r="E81" s="121" t="str">
        <f>IFERROR(__xludf.DUMMYFUNCTION("IFERROR(TEXTJOIN("", "", TRUE, FILTER(FILTER($H$1:$K$1, $H$1:$K$1 &lt;&gt; """"), (MAP(FILTER($H$1:$K$1, $H$1:$K$1 &lt;&gt; """"), LAMBDA(player, IFNA(INDEX(Availability!$A:$AAA, MATCH($A81, Availability!$A:$A, 0), MATCH(player, Availability!$1:$1, 0))))) = ""U""))))"),"")</f>
        <v/>
      </c>
      <c r="F81" s="121" t="str">
        <f>IFERROR(__xludf.DUMMYFUNCTION("IFERROR(TEXTJOIN("", "", TRUE, FILTER(FILTER($H$1:$K$1, $H$1:$K$1 &lt;&gt; """"), (MAP(FILTER($H$1:$K$1, $H$1:$K$1 &lt;&gt; """"), LAMBDA(player, IFNA(INDEX(Availability!$A:$AAA, MATCH($A81, Availability!$A:$A, 0), MATCH(player, Availability!$1:$1, 0))))) = ""X""))))"),"")</f>
        <v/>
      </c>
      <c r="G81" s="121" t="str">
        <f>IFERROR(__xludf.DUMMYFUNCTION("IFERROR(TEXTJOIN("", "", TRUE, FILTER(FILTER($H$1:$K$1, $H$1:$K$1 &lt;&gt; """"), (MAP(FILTER($H$1:$K$1, $H$1:$K$1 &lt;&gt; """"), LAMBDA(player, IFNA(INDEX(Availability!$A:$AAA, MATCH($A81, Availability!$A:$A, 0), MATCH(player, Availability!$1:$1, 0))))) = ""R""))))"),"")</f>
        <v/>
      </c>
    </row>
    <row r="82">
      <c r="A82" s="118">
        <f t="shared" si="2"/>
        <v>46022</v>
      </c>
      <c r="B82" s="119">
        <f>IFERROR(__xludf.DUMMYFUNCTION("COUNTIFS(MAP(FILTER($H$1:$K$1, $H$1:$K$1 &lt;&gt; """"), LAMBDA(player, IFNA(INDEX(Availability!$A:$AAA, MATCH($A82, Availability!$A:$A, 0), MATCH(player, Availability!$1:$1, 0))))), ""X"") + COUNTIFS(MAP(FILTER($H$1:$K$1, $H$1:$K$1 &lt;&gt; """"), LAMBDA(player, IFN"&amp;"A(INDEX(Availability!$A:$AAA, MATCH($A82, Availability!$A:$A, 0), MATCH(player, Availability!$1:$1, 0))))), ""U"") + COUNTIFS(MAP(FILTER($H$1:$K$1, $H$1:$K$1 &lt;&gt; """"), LAMBDA(player, IFNA(INDEX(Availability!$A:$AAA, MATCH($A82, Availability!$A:$A, 0), MAT"&amp;"CH(player, Availability!$1:$1, 0))))), ""R"")"),0.0)</f>
        <v>0</v>
      </c>
      <c r="C82" s="120">
        <f t="shared" si="1"/>
        <v>1</v>
      </c>
      <c r="D82" s="119" t="str">
        <f>IFERROR(__xludf.DUMMYFUNCTION("SPARKLINE(C82, {""charttype"", ""bar""; ""max"", 1; ""color1"", IF(C82 &lt; 0.5, ""red"", IF(C82 &lt; 0.75, ""orange"", ""green""))})"),"")</f>
        <v/>
      </c>
      <c r="E82" s="121" t="str">
        <f>IFERROR(__xludf.DUMMYFUNCTION("IFERROR(TEXTJOIN("", "", TRUE, FILTER(FILTER($H$1:$K$1, $H$1:$K$1 &lt;&gt; """"), (MAP(FILTER($H$1:$K$1, $H$1:$K$1 &lt;&gt; """"), LAMBDA(player, IFNA(INDEX(Availability!$A:$AAA, MATCH($A82, Availability!$A:$A, 0), MATCH(player, Availability!$1:$1, 0))))) = ""U""))))"),"")</f>
        <v/>
      </c>
      <c r="F82" s="121" t="str">
        <f>IFERROR(__xludf.DUMMYFUNCTION("IFERROR(TEXTJOIN("", "", TRUE, FILTER(FILTER($H$1:$K$1, $H$1:$K$1 &lt;&gt; """"), (MAP(FILTER($H$1:$K$1, $H$1:$K$1 &lt;&gt; """"), LAMBDA(player, IFNA(INDEX(Availability!$A:$AAA, MATCH($A82, Availability!$A:$A, 0), MATCH(player, Availability!$1:$1, 0))))) = ""X""))))"),"")</f>
        <v/>
      </c>
      <c r="G82" s="121" t="str">
        <f>IFERROR(__xludf.DUMMYFUNCTION("IFERROR(TEXTJOIN("", "", TRUE, FILTER(FILTER($H$1:$K$1, $H$1:$K$1 &lt;&gt; """"), (MAP(FILTER($H$1:$K$1, $H$1:$K$1 &lt;&gt; """"), LAMBDA(player, IFNA(INDEX(Availability!$A:$AAA, MATCH($A82, Availability!$A:$A, 0), MATCH(player, Availability!$1:$1, 0))))) = ""R""))))"),"")</f>
        <v/>
      </c>
    </row>
    <row r="83">
      <c r="A83" s="118">
        <f t="shared" si="2"/>
        <v>46023</v>
      </c>
      <c r="B83" s="119">
        <f>IFERROR(__xludf.DUMMYFUNCTION("COUNTIFS(MAP(FILTER($H$1:$K$1, $H$1:$K$1 &lt;&gt; """"), LAMBDA(player, IFNA(INDEX(Availability!$A:$AAA, MATCH($A83, Availability!$A:$A, 0), MATCH(player, Availability!$1:$1, 0))))), ""X"") + COUNTIFS(MAP(FILTER($H$1:$K$1, $H$1:$K$1 &lt;&gt; """"), LAMBDA(player, IFN"&amp;"A(INDEX(Availability!$A:$AAA, MATCH($A83, Availability!$A:$A, 0), MATCH(player, Availability!$1:$1, 0))))), ""U"") + COUNTIFS(MAP(FILTER($H$1:$K$1, $H$1:$K$1 &lt;&gt; """"), LAMBDA(player, IFNA(INDEX(Availability!$A:$AAA, MATCH($A83, Availability!$A:$A, 0), MAT"&amp;"CH(player, Availability!$1:$1, 0))))), ""R"")"),0.0)</f>
        <v>0</v>
      </c>
      <c r="C83" s="120">
        <f t="shared" si="1"/>
        <v>1</v>
      </c>
      <c r="D83" s="119" t="str">
        <f>IFERROR(__xludf.DUMMYFUNCTION("SPARKLINE(C83, {""charttype"", ""bar""; ""max"", 1; ""color1"", IF(C83 &lt; 0.5, ""red"", IF(C83 &lt; 0.75, ""orange"", ""green""))})"),"")</f>
        <v/>
      </c>
      <c r="E83" s="121" t="str">
        <f>IFERROR(__xludf.DUMMYFUNCTION("IFERROR(TEXTJOIN("", "", TRUE, FILTER(FILTER($H$1:$K$1, $H$1:$K$1 &lt;&gt; """"), (MAP(FILTER($H$1:$K$1, $H$1:$K$1 &lt;&gt; """"), LAMBDA(player, IFNA(INDEX(Availability!$A:$AAA, MATCH($A83, Availability!$A:$A, 0), MATCH(player, Availability!$1:$1, 0))))) = ""U""))))"),"")</f>
        <v/>
      </c>
      <c r="F83" s="121" t="str">
        <f>IFERROR(__xludf.DUMMYFUNCTION("IFERROR(TEXTJOIN("", "", TRUE, FILTER(FILTER($H$1:$K$1, $H$1:$K$1 &lt;&gt; """"), (MAP(FILTER($H$1:$K$1, $H$1:$K$1 &lt;&gt; """"), LAMBDA(player, IFNA(INDEX(Availability!$A:$AAA, MATCH($A83, Availability!$A:$A, 0), MATCH(player, Availability!$1:$1, 0))))) = ""X""))))"),"")</f>
        <v/>
      </c>
      <c r="G83" s="121" t="str">
        <f>IFERROR(__xludf.DUMMYFUNCTION("IFERROR(TEXTJOIN("", "", TRUE, FILTER(FILTER($H$1:$K$1, $H$1:$K$1 &lt;&gt; """"), (MAP(FILTER($H$1:$K$1, $H$1:$K$1 &lt;&gt; """"), LAMBDA(player, IFNA(INDEX(Availability!$A:$AAA, MATCH($A83, Availability!$A:$A, 0), MATCH(player, Availability!$1:$1, 0))))) = ""R""))))"),"")</f>
        <v/>
      </c>
    </row>
    <row r="84">
      <c r="A84" s="118">
        <f t="shared" si="2"/>
        <v>46024</v>
      </c>
      <c r="B84" s="119">
        <f>IFERROR(__xludf.DUMMYFUNCTION("COUNTIFS(MAP(FILTER($H$1:$K$1, $H$1:$K$1 &lt;&gt; """"), LAMBDA(player, IFNA(INDEX(Availability!$A:$AAA, MATCH($A84, Availability!$A:$A, 0), MATCH(player, Availability!$1:$1, 0))))), ""X"") + COUNTIFS(MAP(FILTER($H$1:$K$1, $H$1:$K$1 &lt;&gt; """"), LAMBDA(player, IFN"&amp;"A(INDEX(Availability!$A:$AAA, MATCH($A84, Availability!$A:$A, 0), MATCH(player, Availability!$1:$1, 0))))), ""U"") + COUNTIFS(MAP(FILTER($H$1:$K$1, $H$1:$K$1 &lt;&gt; """"), LAMBDA(player, IFNA(INDEX(Availability!$A:$AAA, MATCH($A84, Availability!$A:$A, 0), MAT"&amp;"CH(player, Availability!$1:$1, 0))))), ""R"")"),0.0)</f>
        <v>0</v>
      </c>
      <c r="C84" s="120">
        <f t="shared" si="1"/>
        <v>1</v>
      </c>
      <c r="D84" s="119" t="str">
        <f>IFERROR(__xludf.DUMMYFUNCTION("SPARKLINE(C84, {""charttype"", ""bar""; ""max"", 1; ""color1"", IF(C84 &lt; 0.5, ""red"", IF(C84 &lt; 0.75, ""orange"", ""green""))})"),"")</f>
        <v/>
      </c>
      <c r="E84" s="121" t="str">
        <f>IFERROR(__xludf.DUMMYFUNCTION("IFERROR(TEXTJOIN("", "", TRUE, FILTER(FILTER($H$1:$K$1, $H$1:$K$1 &lt;&gt; """"), (MAP(FILTER($H$1:$K$1, $H$1:$K$1 &lt;&gt; """"), LAMBDA(player, IFNA(INDEX(Availability!$A:$AAA, MATCH($A84, Availability!$A:$A, 0), MATCH(player, Availability!$1:$1, 0))))) = ""U""))))"),"")</f>
        <v/>
      </c>
      <c r="F84" s="121" t="str">
        <f>IFERROR(__xludf.DUMMYFUNCTION("IFERROR(TEXTJOIN("", "", TRUE, FILTER(FILTER($H$1:$K$1, $H$1:$K$1 &lt;&gt; """"), (MAP(FILTER($H$1:$K$1, $H$1:$K$1 &lt;&gt; """"), LAMBDA(player, IFNA(INDEX(Availability!$A:$AAA, MATCH($A84, Availability!$A:$A, 0), MATCH(player, Availability!$1:$1, 0))))) = ""X""))))"),"")</f>
        <v/>
      </c>
      <c r="G84" s="121" t="str">
        <f>IFERROR(__xludf.DUMMYFUNCTION("IFERROR(TEXTJOIN("", "", TRUE, FILTER(FILTER($H$1:$K$1, $H$1:$K$1 &lt;&gt; """"), (MAP(FILTER($H$1:$K$1, $H$1:$K$1 &lt;&gt; """"), LAMBDA(player, IFNA(INDEX(Availability!$A:$AAA, MATCH($A84, Availability!$A:$A, 0), MATCH(player, Availability!$1:$1, 0))))) = ""R""))))"),"")</f>
        <v/>
      </c>
    </row>
    <row r="85">
      <c r="A85" s="118">
        <f t="shared" si="2"/>
        <v>46025</v>
      </c>
      <c r="B85" s="119">
        <f>IFERROR(__xludf.DUMMYFUNCTION("COUNTIFS(MAP(FILTER($H$1:$K$1, $H$1:$K$1 &lt;&gt; """"), LAMBDA(player, IFNA(INDEX(Availability!$A:$AAA, MATCH($A85, Availability!$A:$A, 0), MATCH(player, Availability!$1:$1, 0))))), ""X"") + COUNTIFS(MAP(FILTER($H$1:$K$1, $H$1:$K$1 &lt;&gt; """"), LAMBDA(player, IFN"&amp;"A(INDEX(Availability!$A:$AAA, MATCH($A85, Availability!$A:$A, 0), MATCH(player, Availability!$1:$1, 0))))), ""U"") + COUNTIFS(MAP(FILTER($H$1:$K$1, $H$1:$K$1 &lt;&gt; """"), LAMBDA(player, IFNA(INDEX(Availability!$A:$AAA, MATCH($A85, Availability!$A:$A, 0), MAT"&amp;"CH(player, Availability!$1:$1, 0))))), ""R"")"),0.0)</f>
        <v>0</v>
      </c>
      <c r="C85" s="120">
        <f t="shared" si="1"/>
        <v>1</v>
      </c>
      <c r="D85" s="119" t="str">
        <f>IFERROR(__xludf.DUMMYFUNCTION("SPARKLINE(C85, {""charttype"", ""bar""; ""max"", 1; ""color1"", IF(C85 &lt; 0.5, ""red"", IF(C85 &lt; 0.75, ""orange"", ""green""))})"),"")</f>
        <v/>
      </c>
      <c r="E85" s="121" t="str">
        <f>IFERROR(__xludf.DUMMYFUNCTION("IFERROR(TEXTJOIN("", "", TRUE, FILTER(FILTER($H$1:$K$1, $H$1:$K$1 &lt;&gt; """"), (MAP(FILTER($H$1:$K$1, $H$1:$K$1 &lt;&gt; """"), LAMBDA(player, IFNA(INDEX(Availability!$A:$AAA, MATCH($A85, Availability!$A:$A, 0), MATCH(player, Availability!$1:$1, 0))))) = ""U""))))"),"")</f>
        <v/>
      </c>
      <c r="F85" s="121" t="str">
        <f>IFERROR(__xludf.DUMMYFUNCTION("IFERROR(TEXTJOIN("", "", TRUE, FILTER(FILTER($H$1:$K$1, $H$1:$K$1 &lt;&gt; """"), (MAP(FILTER($H$1:$K$1, $H$1:$K$1 &lt;&gt; """"), LAMBDA(player, IFNA(INDEX(Availability!$A:$AAA, MATCH($A85, Availability!$A:$A, 0), MATCH(player, Availability!$1:$1, 0))))) = ""X""))))"),"")</f>
        <v/>
      </c>
      <c r="G85" s="121" t="str">
        <f>IFERROR(__xludf.DUMMYFUNCTION("IFERROR(TEXTJOIN("", "", TRUE, FILTER(FILTER($H$1:$K$1, $H$1:$K$1 &lt;&gt; """"), (MAP(FILTER($H$1:$K$1, $H$1:$K$1 &lt;&gt; """"), LAMBDA(player, IFNA(INDEX(Availability!$A:$AAA, MATCH($A85, Availability!$A:$A, 0), MATCH(player, Availability!$1:$1, 0))))) = ""R""))))"),"")</f>
        <v/>
      </c>
    </row>
    <row r="86">
      <c r="A86" s="118">
        <f t="shared" si="2"/>
        <v>46026</v>
      </c>
      <c r="B86" s="119">
        <f>IFERROR(__xludf.DUMMYFUNCTION("COUNTIFS(MAP(FILTER($H$1:$K$1, $H$1:$K$1 &lt;&gt; """"), LAMBDA(player, IFNA(INDEX(Availability!$A:$AAA, MATCH($A86, Availability!$A:$A, 0), MATCH(player, Availability!$1:$1, 0))))), ""X"") + COUNTIFS(MAP(FILTER($H$1:$K$1, $H$1:$K$1 &lt;&gt; """"), LAMBDA(player, IFN"&amp;"A(INDEX(Availability!$A:$AAA, MATCH($A86, Availability!$A:$A, 0), MATCH(player, Availability!$1:$1, 0))))), ""U"") + COUNTIFS(MAP(FILTER($H$1:$K$1, $H$1:$K$1 &lt;&gt; """"), LAMBDA(player, IFNA(INDEX(Availability!$A:$AAA, MATCH($A86, Availability!$A:$A, 0), MAT"&amp;"CH(player, Availability!$1:$1, 0))))), ""R"")"),0.0)</f>
        <v>0</v>
      </c>
      <c r="C86" s="120">
        <f t="shared" si="1"/>
        <v>1</v>
      </c>
      <c r="D86" s="119" t="str">
        <f>IFERROR(__xludf.DUMMYFUNCTION("SPARKLINE(C86, {""charttype"", ""bar""; ""max"", 1; ""color1"", IF(C86 &lt; 0.5, ""red"", IF(C86 &lt; 0.75, ""orange"", ""green""))})"),"")</f>
        <v/>
      </c>
      <c r="E86" s="121" t="str">
        <f>IFERROR(__xludf.DUMMYFUNCTION("IFERROR(TEXTJOIN("", "", TRUE, FILTER(FILTER($H$1:$K$1, $H$1:$K$1 &lt;&gt; """"), (MAP(FILTER($H$1:$K$1, $H$1:$K$1 &lt;&gt; """"), LAMBDA(player, IFNA(INDEX(Availability!$A:$AAA, MATCH($A86, Availability!$A:$A, 0), MATCH(player, Availability!$1:$1, 0))))) = ""U""))))"),"")</f>
        <v/>
      </c>
      <c r="F86" s="121" t="str">
        <f>IFERROR(__xludf.DUMMYFUNCTION("IFERROR(TEXTJOIN("", "", TRUE, FILTER(FILTER($H$1:$K$1, $H$1:$K$1 &lt;&gt; """"), (MAP(FILTER($H$1:$K$1, $H$1:$K$1 &lt;&gt; """"), LAMBDA(player, IFNA(INDEX(Availability!$A:$AAA, MATCH($A86, Availability!$A:$A, 0), MATCH(player, Availability!$1:$1, 0))))) = ""X""))))"),"")</f>
        <v/>
      </c>
      <c r="G86" s="121" t="str">
        <f>IFERROR(__xludf.DUMMYFUNCTION("IFERROR(TEXTJOIN("", "", TRUE, FILTER(FILTER($H$1:$K$1, $H$1:$K$1 &lt;&gt; """"), (MAP(FILTER($H$1:$K$1, $H$1:$K$1 &lt;&gt; """"), LAMBDA(player, IFNA(INDEX(Availability!$A:$AAA, MATCH($A86, Availability!$A:$A, 0), MATCH(player, Availability!$1:$1, 0))))) = ""R""))))"),"")</f>
        <v/>
      </c>
    </row>
    <row r="87">
      <c r="A87" s="118">
        <f t="shared" si="2"/>
        <v>46027</v>
      </c>
      <c r="B87" s="119">
        <f>IFERROR(__xludf.DUMMYFUNCTION("COUNTIFS(MAP(FILTER($H$1:$K$1, $H$1:$K$1 &lt;&gt; """"), LAMBDA(player, IFNA(INDEX(Availability!$A:$AAA, MATCH($A87, Availability!$A:$A, 0), MATCH(player, Availability!$1:$1, 0))))), ""X"") + COUNTIFS(MAP(FILTER($H$1:$K$1, $H$1:$K$1 &lt;&gt; """"), LAMBDA(player, IFN"&amp;"A(INDEX(Availability!$A:$AAA, MATCH($A87, Availability!$A:$A, 0), MATCH(player, Availability!$1:$1, 0))))), ""U"") + COUNTIFS(MAP(FILTER($H$1:$K$1, $H$1:$K$1 &lt;&gt; """"), LAMBDA(player, IFNA(INDEX(Availability!$A:$AAA, MATCH($A87, Availability!$A:$A, 0), MAT"&amp;"CH(player, Availability!$1:$1, 0))))), ""R"")"),0.0)</f>
        <v>0</v>
      </c>
      <c r="C87" s="120">
        <f t="shared" si="1"/>
        <v>1</v>
      </c>
      <c r="D87" s="119" t="str">
        <f>IFERROR(__xludf.DUMMYFUNCTION("SPARKLINE(C87, {""charttype"", ""bar""; ""max"", 1; ""color1"", IF(C87 &lt; 0.5, ""red"", IF(C87 &lt; 0.75, ""orange"", ""green""))})"),"")</f>
        <v/>
      </c>
      <c r="E87" s="121" t="str">
        <f>IFERROR(__xludf.DUMMYFUNCTION("IFERROR(TEXTJOIN("", "", TRUE, FILTER(FILTER($H$1:$K$1, $H$1:$K$1 &lt;&gt; """"), (MAP(FILTER($H$1:$K$1, $H$1:$K$1 &lt;&gt; """"), LAMBDA(player, IFNA(INDEX(Availability!$A:$AAA, MATCH($A87, Availability!$A:$A, 0), MATCH(player, Availability!$1:$1, 0))))) = ""U""))))"),"")</f>
        <v/>
      </c>
      <c r="F87" s="121" t="str">
        <f>IFERROR(__xludf.DUMMYFUNCTION("IFERROR(TEXTJOIN("", "", TRUE, FILTER(FILTER($H$1:$K$1, $H$1:$K$1 &lt;&gt; """"), (MAP(FILTER($H$1:$K$1, $H$1:$K$1 &lt;&gt; """"), LAMBDA(player, IFNA(INDEX(Availability!$A:$AAA, MATCH($A87, Availability!$A:$A, 0), MATCH(player, Availability!$1:$1, 0))))) = ""X""))))"),"")</f>
        <v/>
      </c>
      <c r="G87" s="121" t="str">
        <f>IFERROR(__xludf.DUMMYFUNCTION("IFERROR(TEXTJOIN("", "", TRUE, FILTER(FILTER($H$1:$K$1, $H$1:$K$1 &lt;&gt; """"), (MAP(FILTER($H$1:$K$1, $H$1:$K$1 &lt;&gt; """"), LAMBDA(player, IFNA(INDEX(Availability!$A:$AAA, MATCH($A87, Availability!$A:$A, 0), MATCH(player, Availability!$1:$1, 0))))) = ""R""))))"),"")</f>
        <v/>
      </c>
    </row>
    <row r="88">
      <c r="A88" s="118">
        <f t="shared" si="2"/>
        <v>46028</v>
      </c>
      <c r="B88" s="119">
        <f>IFERROR(__xludf.DUMMYFUNCTION("COUNTIFS(MAP(FILTER($H$1:$K$1, $H$1:$K$1 &lt;&gt; """"), LAMBDA(player, IFNA(INDEX(Availability!$A:$AAA, MATCH($A88, Availability!$A:$A, 0), MATCH(player, Availability!$1:$1, 0))))), ""X"") + COUNTIFS(MAP(FILTER($H$1:$K$1, $H$1:$K$1 &lt;&gt; """"), LAMBDA(player, IFN"&amp;"A(INDEX(Availability!$A:$AAA, MATCH($A88, Availability!$A:$A, 0), MATCH(player, Availability!$1:$1, 0))))), ""U"") + COUNTIFS(MAP(FILTER($H$1:$K$1, $H$1:$K$1 &lt;&gt; """"), LAMBDA(player, IFNA(INDEX(Availability!$A:$AAA, MATCH($A88, Availability!$A:$A, 0), MAT"&amp;"CH(player, Availability!$1:$1, 0))))), ""R"")"),0.0)</f>
        <v>0</v>
      </c>
      <c r="C88" s="120">
        <f t="shared" si="1"/>
        <v>1</v>
      </c>
      <c r="D88" s="119" t="str">
        <f>IFERROR(__xludf.DUMMYFUNCTION("SPARKLINE(C88, {""charttype"", ""bar""; ""max"", 1; ""color1"", IF(C88 &lt; 0.5, ""red"", IF(C88 &lt; 0.75, ""orange"", ""green""))})"),"")</f>
        <v/>
      </c>
      <c r="E88" s="121" t="str">
        <f>IFERROR(__xludf.DUMMYFUNCTION("IFERROR(TEXTJOIN("", "", TRUE, FILTER(FILTER($H$1:$K$1, $H$1:$K$1 &lt;&gt; """"), (MAP(FILTER($H$1:$K$1, $H$1:$K$1 &lt;&gt; """"), LAMBDA(player, IFNA(INDEX(Availability!$A:$AAA, MATCH($A88, Availability!$A:$A, 0), MATCH(player, Availability!$1:$1, 0))))) = ""U""))))"),"")</f>
        <v/>
      </c>
      <c r="F88" s="121" t="str">
        <f>IFERROR(__xludf.DUMMYFUNCTION("IFERROR(TEXTJOIN("", "", TRUE, FILTER(FILTER($H$1:$K$1, $H$1:$K$1 &lt;&gt; """"), (MAP(FILTER($H$1:$K$1, $H$1:$K$1 &lt;&gt; """"), LAMBDA(player, IFNA(INDEX(Availability!$A:$AAA, MATCH($A88, Availability!$A:$A, 0), MATCH(player, Availability!$1:$1, 0))))) = ""X""))))"),"")</f>
        <v/>
      </c>
      <c r="G88" s="121" t="str">
        <f>IFERROR(__xludf.DUMMYFUNCTION("IFERROR(TEXTJOIN("", "", TRUE, FILTER(FILTER($H$1:$K$1, $H$1:$K$1 &lt;&gt; """"), (MAP(FILTER($H$1:$K$1, $H$1:$K$1 &lt;&gt; """"), LAMBDA(player, IFNA(INDEX(Availability!$A:$AAA, MATCH($A88, Availability!$A:$A, 0), MATCH(player, Availability!$1:$1, 0))))) = ""R""))))"),"")</f>
        <v/>
      </c>
    </row>
    <row r="89">
      <c r="A89" s="118">
        <f t="shared" si="2"/>
        <v>46029</v>
      </c>
      <c r="B89" s="119">
        <f>IFERROR(__xludf.DUMMYFUNCTION("COUNTIFS(MAP(FILTER($H$1:$K$1, $H$1:$K$1 &lt;&gt; """"), LAMBDA(player, IFNA(INDEX(Availability!$A:$AAA, MATCH($A89, Availability!$A:$A, 0), MATCH(player, Availability!$1:$1, 0))))), ""X"") + COUNTIFS(MAP(FILTER($H$1:$K$1, $H$1:$K$1 &lt;&gt; """"), LAMBDA(player, IFN"&amp;"A(INDEX(Availability!$A:$AAA, MATCH($A89, Availability!$A:$A, 0), MATCH(player, Availability!$1:$1, 0))))), ""U"") + COUNTIFS(MAP(FILTER($H$1:$K$1, $H$1:$K$1 &lt;&gt; """"), LAMBDA(player, IFNA(INDEX(Availability!$A:$AAA, MATCH($A89, Availability!$A:$A, 0), MAT"&amp;"CH(player, Availability!$1:$1, 0))))), ""R"")"),0.0)</f>
        <v>0</v>
      </c>
      <c r="C89" s="120">
        <f t="shared" si="1"/>
        <v>1</v>
      </c>
      <c r="D89" s="119" t="str">
        <f>IFERROR(__xludf.DUMMYFUNCTION("SPARKLINE(C89, {""charttype"", ""bar""; ""max"", 1; ""color1"", IF(C89 &lt; 0.5, ""red"", IF(C89 &lt; 0.75, ""orange"", ""green""))})"),"")</f>
        <v/>
      </c>
      <c r="E89" s="121" t="str">
        <f>IFERROR(__xludf.DUMMYFUNCTION("IFERROR(TEXTJOIN("", "", TRUE, FILTER(FILTER($H$1:$K$1, $H$1:$K$1 &lt;&gt; """"), (MAP(FILTER($H$1:$K$1, $H$1:$K$1 &lt;&gt; """"), LAMBDA(player, IFNA(INDEX(Availability!$A:$AAA, MATCH($A89, Availability!$A:$A, 0), MATCH(player, Availability!$1:$1, 0))))) = ""U""))))"),"")</f>
        <v/>
      </c>
      <c r="F89" s="121" t="str">
        <f>IFERROR(__xludf.DUMMYFUNCTION("IFERROR(TEXTJOIN("", "", TRUE, FILTER(FILTER($H$1:$K$1, $H$1:$K$1 &lt;&gt; """"), (MAP(FILTER($H$1:$K$1, $H$1:$K$1 &lt;&gt; """"), LAMBDA(player, IFNA(INDEX(Availability!$A:$AAA, MATCH($A89, Availability!$A:$A, 0), MATCH(player, Availability!$1:$1, 0))))) = ""X""))))"),"")</f>
        <v/>
      </c>
      <c r="G89" s="121" t="str">
        <f>IFERROR(__xludf.DUMMYFUNCTION("IFERROR(TEXTJOIN("", "", TRUE, FILTER(FILTER($H$1:$K$1, $H$1:$K$1 &lt;&gt; """"), (MAP(FILTER($H$1:$K$1, $H$1:$K$1 &lt;&gt; """"), LAMBDA(player, IFNA(INDEX(Availability!$A:$AAA, MATCH($A89, Availability!$A:$A, 0), MATCH(player, Availability!$1:$1, 0))))) = ""R""))))"),"")</f>
        <v/>
      </c>
    </row>
    <row r="90">
      <c r="A90" s="118">
        <f t="shared" si="2"/>
        <v>46030</v>
      </c>
      <c r="B90" s="119">
        <f>IFERROR(__xludf.DUMMYFUNCTION("COUNTIFS(MAP(FILTER($H$1:$K$1, $H$1:$K$1 &lt;&gt; """"), LAMBDA(player, IFNA(INDEX(Availability!$A:$AAA, MATCH($A90, Availability!$A:$A, 0), MATCH(player, Availability!$1:$1, 0))))), ""X"") + COUNTIFS(MAP(FILTER($H$1:$K$1, $H$1:$K$1 &lt;&gt; """"), LAMBDA(player, IFN"&amp;"A(INDEX(Availability!$A:$AAA, MATCH($A90, Availability!$A:$A, 0), MATCH(player, Availability!$1:$1, 0))))), ""U"") + COUNTIFS(MAP(FILTER($H$1:$K$1, $H$1:$K$1 &lt;&gt; """"), LAMBDA(player, IFNA(INDEX(Availability!$A:$AAA, MATCH($A90, Availability!$A:$A, 0), MAT"&amp;"CH(player, Availability!$1:$1, 0))))), ""R"")"),0.0)</f>
        <v>0</v>
      </c>
      <c r="C90" s="120">
        <f t="shared" si="1"/>
        <v>1</v>
      </c>
      <c r="D90" s="119" t="str">
        <f>IFERROR(__xludf.DUMMYFUNCTION("SPARKLINE(C90, {""charttype"", ""bar""; ""max"", 1; ""color1"", IF(C90 &lt; 0.5, ""red"", IF(C90 &lt; 0.75, ""orange"", ""green""))})"),"")</f>
        <v/>
      </c>
      <c r="E90" s="121" t="str">
        <f>IFERROR(__xludf.DUMMYFUNCTION("IFERROR(TEXTJOIN("", "", TRUE, FILTER(FILTER($H$1:$K$1, $H$1:$K$1 &lt;&gt; """"), (MAP(FILTER($H$1:$K$1, $H$1:$K$1 &lt;&gt; """"), LAMBDA(player, IFNA(INDEX(Availability!$A:$AAA, MATCH($A90, Availability!$A:$A, 0), MATCH(player, Availability!$1:$1, 0))))) = ""U""))))"),"")</f>
        <v/>
      </c>
      <c r="F90" s="121" t="str">
        <f>IFERROR(__xludf.DUMMYFUNCTION("IFERROR(TEXTJOIN("", "", TRUE, FILTER(FILTER($H$1:$K$1, $H$1:$K$1 &lt;&gt; """"), (MAP(FILTER($H$1:$K$1, $H$1:$K$1 &lt;&gt; """"), LAMBDA(player, IFNA(INDEX(Availability!$A:$AAA, MATCH($A90, Availability!$A:$A, 0), MATCH(player, Availability!$1:$1, 0))))) = ""X""))))"),"")</f>
        <v/>
      </c>
      <c r="G90" s="121" t="str">
        <f>IFERROR(__xludf.DUMMYFUNCTION("IFERROR(TEXTJOIN("", "", TRUE, FILTER(FILTER($H$1:$K$1, $H$1:$K$1 &lt;&gt; """"), (MAP(FILTER($H$1:$K$1, $H$1:$K$1 &lt;&gt; """"), LAMBDA(player, IFNA(INDEX(Availability!$A:$AAA, MATCH($A90, Availability!$A:$A, 0), MATCH(player, Availability!$1:$1, 0))))) = ""R""))))"),"")</f>
        <v/>
      </c>
    </row>
    <row r="91">
      <c r="A91" s="118">
        <f t="shared" si="2"/>
        <v>46031</v>
      </c>
      <c r="B91" s="119">
        <f>IFERROR(__xludf.DUMMYFUNCTION("COUNTIFS(MAP(FILTER($H$1:$K$1, $H$1:$K$1 &lt;&gt; """"), LAMBDA(player, IFNA(INDEX(Availability!$A:$AAA, MATCH($A91, Availability!$A:$A, 0), MATCH(player, Availability!$1:$1, 0))))), ""X"") + COUNTIFS(MAP(FILTER($H$1:$K$1, $H$1:$K$1 &lt;&gt; """"), LAMBDA(player, IFN"&amp;"A(INDEX(Availability!$A:$AAA, MATCH($A91, Availability!$A:$A, 0), MATCH(player, Availability!$1:$1, 0))))), ""U"") + COUNTIFS(MAP(FILTER($H$1:$K$1, $H$1:$K$1 &lt;&gt; """"), LAMBDA(player, IFNA(INDEX(Availability!$A:$AAA, MATCH($A91, Availability!$A:$A, 0), MAT"&amp;"CH(player, Availability!$1:$1, 0))))), ""R"")"),0.0)</f>
        <v>0</v>
      </c>
      <c r="C91" s="120">
        <f t="shared" si="1"/>
        <v>1</v>
      </c>
      <c r="D91" s="119" t="str">
        <f>IFERROR(__xludf.DUMMYFUNCTION("SPARKLINE(C91, {""charttype"", ""bar""; ""max"", 1; ""color1"", IF(C91 &lt; 0.5, ""red"", IF(C91 &lt; 0.75, ""orange"", ""green""))})"),"")</f>
        <v/>
      </c>
      <c r="E91" s="121" t="str">
        <f>IFERROR(__xludf.DUMMYFUNCTION("IFERROR(TEXTJOIN("", "", TRUE, FILTER(FILTER($H$1:$K$1, $H$1:$K$1 &lt;&gt; """"), (MAP(FILTER($H$1:$K$1, $H$1:$K$1 &lt;&gt; """"), LAMBDA(player, IFNA(INDEX(Availability!$A:$AAA, MATCH($A91, Availability!$A:$A, 0), MATCH(player, Availability!$1:$1, 0))))) = ""U""))))"),"")</f>
        <v/>
      </c>
      <c r="F91" s="121" t="str">
        <f>IFERROR(__xludf.DUMMYFUNCTION("IFERROR(TEXTJOIN("", "", TRUE, FILTER(FILTER($H$1:$K$1, $H$1:$K$1 &lt;&gt; """"), (MAP(FILTER($H$1:$K$1, $H$1:$K$1 &lt;&gt; """"), LAMBDA(player, IFNA(INDEX(Availability!$A:$AAA, MATCH($A91, Availability!$A:$A, 0), MATCH(player, Availability!$1:$1, 0))))) = ""X""))))"),"")</f>
        <v/>
      </c>
      <c r="G91" s="121" t="str">
        <f>IFERROR(__xludf.DUMMYFUNCTION("IFERROR(TEXTJOIN("", "", TRUE, FILTER(FILTER($H$1:$K$1, $H$1:$K$1 &lt;&gt; """"), (MAP(FILTER($H$1:$K$1, $H$1:$K$1 &lt;&gt; """"), LAMBDA(player, IFNA(INDEX(Availability!$A:$AAA, MATCH($A91, Availability!$A:$A, 0), MATCH(player, Availability!$1:$1, 0))))) = ""R""))))"),"")</f>
        <v/>
      </c>
    </row>
    <row r="92">
      <c r="A92" s="118">
        <f t="shared" si="2"/>
        <v>46032</v>
      </c>
      <c r="B92" s="119">
        <f>IFERROR(__xludf.DUMMYFUNCTION("COUNTIFS(MAP(FILTER($H$1:$K$1, $H$1:$K$1 &lt;&gt; """"), LAMBDA(player, IFNA(INDEX(Availability!$A:$AAA, MATCH($A92, Availability!$A:$A, 0), MATCH(player, Availability!$1:$1, 0))))), ""X"") + COUNTIFS(MAP(FILTER($H$1:$K$1, $H$1:$K$1 &lt;&gt; """"), LAMBDA(player, IFN"&amp;"A(INDEX(Availability!$A:$AAA, MATCH($A92, Availability!$A:$A, 0), MATCH(player, Availability!$1:$1, 0))))), ""U"") + COUNTIFS(MAP(FILTER($H$1:$K$1, $H$1:$K$1 &lt;&gt; """"), LAMBDA(player, IFNA(INDEX(Availability!$A:$AAA, MATCH($A92, Availability!$A:$A, 0), MAT"&amp;"CH(player, Availability!$1:$1, 0))))), ""R"")"),0.0)</f>
        <v>0</v>
      </c>
      <c r="C92" s="120">
        <f t="shared" si="1"/>
        <v>1</v>
      </c>
      <c r="D92" s="119" t="str">
        <f>IFERROR(__xludf.DUMMYFUNCTION("SPARKLINE(C92, {""charttype"", ""bar""; ""max"", 1; ""color1"", IF(C92 &lt; 0.5, ""red"", IF(C92 &lt; 0.75, ""orange"", ""green""))})"),"")</f>
        <v/>
      </c>
      <c r="E92" s="121" t="str">
        <f>IFERROR(__xludf.DUMMYFUNCTION("IFERROR(TEXTJOIN("", "", TRUE, FILTER(FILTER($H$1:$K$1, $H$1:$K$1 &lt;&gt; """"), (MAP(FILTER($H$1:$K$1, $H$1:$K$1 &lt;&gt; """"), LAMBDA(player, IFNA(INDEX(Availability!$A:$AAA, MATCH($A92, Availability!$A:$A, 0), MATCH(player, Availability!$1:$1, 0))))) = ""U""))))"),"")</f>
        <v/>
      </c>
      <c r="F92" s="121" t="str">
        <f>IFERROR(__xludf.DUMMYFUNCTION("IFERROR(TEXTJOIN("", "", TRUE, FILTER(FILTER($H$1:$K$1, $H$1:$K$1 &lt;&gt; """"), (MAP(FILTER($H$1:$K$1, $H$1:$K$1 &lt;&gt; """"), LAMBDA(player, IFNA(INDEX(Availability!$A:$AAA, MATCH($A92, Availability!$A:$A, 0), MATCH(player, Availability!$1:$1, 0))))) = ""X""))))"),"")</f>
        <v/>
      </c>
      <c r="G92" s="121" t="str">
        <f>IFERROR(__xludf.DUMMYFUNCTION("IFERROR(TEXTJOIN("", "", TRUE, FILTER(FILTER($H$1:$K$1, $H$1:$K$1 &lt;&gt; """"), (MAP(FILTER($H$1:$K$1, $H$1:$K$1 &lt;&gt; """"), LAMBDA(player, IFNA(INDEX(Availability!$A:$AAA, MATCH($A92, Availability!$A:$A, 0), MATCH(player, Availability!$1:$1, 0))))) = ""R""))))"),"")</f>
        <v/>
      </c>
    </row>
    <row r="93">
      <c r="A93" s="118">
        <f t="shared" si="2"/>
        <v>46033</v>
      </c>
      <c r="B93" s="119">
        <f>IFERROR(__xludf.DUMMYFUNCTION("COUNTIFS(MAP(FILTER($H$1:$K$1, $H$1:$K$1 &lt;&gt; """"), LAMBDA(player, IFNA(INDEX(Availability!$A:$AAA, MATCH($A93, Availability!$A:$A, 0), MATCH(player, Availability!$1:$1, 0))))), ""X"") + COUNTIFS(MAP(FILTER($H$1:$K$1, $H$1:$K$1 &lt;&gt; """"), LAMBDA(player, IFN"&amp;"A(INDEX(Availability!$A:$AAA, MATCH($A93, Availability!$A:$A, 0), MATCH(player, Availability!$1:$1, 0))))), ""U"") + COUNTIFS(MAP(FILTER($H$1:$K$1, $H$1:$K$1 &lt;&gt; """"), LAMBDA(player, IFNA(INDEX(Availability!$A:$AAA, MATCH($A93, Availability!$A:$A, 0), MAT"&amp;"CH(player, Availability!$1:$1, 0))))), ""R"")"),1.0)</f>
        <v>1</v>
      </c>
      <c r="C93" s="120">
        <f t="shared" si="1"/>
        <v>0.75</v>
      </c>
      <c r="D93" s="119" t="str">
        <f>IFERROR(__xludf.DUMMYFUNCTION("SPARKLINE(C93, {""charttype"", ""bar""; ""max"", 1; ""color1"", IF(C93 &lt; 0.5, ""red"", IF(C93 &lt; 0.75, ""orange"", ""green""))})"),"")</f>
        <v/>
      </c>
      <c r="E93" s="121" t="str">
        <f>IFERROR(__xludf.DUMMYFUNCTION("IFERROR(TEXTJOIN("", "", TRUE, FILTER(FILTER($H$1:$K$1, $H$1:$K$1 &lt;&gt; """"), (MAP(FILTER($H$1:$K$1, $H$1:$K$1 &lt;&gt; """"), LAMBDA(player, IFNA(INDEX(Availability!$A:$AAA, MATCH($A93, Availability!$A:$A, 0), MATCH(player, Availability!$1:$1, 0))))) = ""U""))))"),"Robbie Frost")</f>
        <v>Robbie Frost</v>
      </c>
      <c r="F93" s="121" t="str">
        <f>IFERROR(__xludf.DUMMYFUNCTION("IFERROR(TEXTJOIN("", "", TRUE, FILTER(FILTER($H$1:$K$1, $H$1:$K$1 &lt;&gt; """"), (MAP(FILTER($H$1:$K$1, $H$1:$K$1 &lt;&gt; """"), LAMBDA(player, IFNA(INDEX(Availability!$A:$AAA, MATCH($A93, Availability!$A:$A, 0), MATCH(player, Availability!$1:$1, 0))))) = ""X""))))"),"")</f>
        <v/>
      </c>
      <c r="G93" s="121" t="str">
        <f>IFERROR(__xludf.DUMMYFUNCTION("IFERROR(TEXTJOIN("", "", TRUE, FILTER(FILTER($H$1:$K$1, $H$1:$K$1 &lt;&gt; """"), (MAP(FILTER($H$1:$K$1, $H$1:$K$1 &lt;&gt; """"), LAMBDA(player, IFNA(INDEX(Availability!$A:$AAA, MATCH($A93, Availability!$A:$A, 0), MATCH(player, Availability!$1:$1, 0))))) = ""R""))))"),"")</f>
        <v/>
      </c>
    </row>
    <row r="94">
      <c r="A94" s="118">
        <f t="shared" si="2"/>
        <v>46034</v>
      </c>
      <c r="B94" s="119">
        <f>IFERROR(__xludf.DUMMYFUNCTION("COUNTIFS(MAP(FILTER($H$1:$K$1, $H$1:$K$1 &lt;&gt; """"), LAMBDA(player, IFNA(INDEX(Availability!$A:$AAA, MATCH($A94, Availability!$A:$A, 0), MATCH(player, Availability!$1:$1, 0))))), ""X"") + COUNTIFS(MAP(FILTER($H$1:$K$1, $H$1:$K$1 &lt;&gt; """"), LAMBDA(player, IFN"&amp;"A(INDEX(Availability!$A:$AAA, MATCH($A94, Availability!$A:$A, 0), MATCH(player, Availability!$1:$1, 0))))), ""U"") + COUNTIFS(MAP(FILTER($H$1:$K$1, $H$1:$K$1 &lt;&gt; """"), LAMBDA(player, IFNA(INDEX(Availability!$A:$AAA, MATCH($A94, Availability!$A:$A, 0), MAT"&amp;"CH(player, Availability!$1:$1, 0))))), ""R"")"),0.0)</f>
        <v>0</v>
      </c>
      <c r="C94" s="120">
        <f t="shared" si="1"/>
        <v>1</v>
      </c>
      <c r="D94" s="119" t="str">
        <f>IFERROR(__xludf.DUMMYFUNCTION("SPARKLINE(C94, {""charttype"", ""bar""; ""max"", 1; ""color1"", IF(C94 &lt; 0.5, ""red"", IF(C94 &lt; 0.75, ""orange"", ""green""))})"),"")</f>
        <v/>
      </c>
      <c r="E94" s="121" t="str">
        <f>IFERROR(__xludf.DUMMYFUNCTION("IFERROR(TEXTJOIN("", "", TRUE, FILTER(FILTER($H$1:$K$1, $H$1:$K$1 &lt;&gt; """"), (MAP(FILTER($H$1:$K$1, $H$1:$K$1 &lt;&gt; """"), LAMBDA(player, IFNA(INDEX(Availability!$A:$AAA, MATCH($A94, Availability!$A:$A, 0), MATCH(player, Availability!$1:$1, 0))))) = ""U""))))"),"")</f>
        <v/>
      </c>
      <c r="F94" s="121" t="str">
        <f>IFERROR(__xludf.DUMMYFUNCTION("IFERROR(TEXTJOIN("", "", TRUE, FILTER(FILTER($H$1:$K$1, $H$1:$K$1 &lt;&gt; """"), (MAP(FILTER($H$1:$K$1, $H$1:$K$1 &lt;&gt; """"), LAMBDA(player, IFNA(INDEX(Availability!$A:$AAA, MATCH($A94, Availability!$A:$A, 0), MATCH(player, Availability!$1:$1, 0))))) = ""X""))))"),"")</f>
        <v/>
      </c>
      <c r="G94" s="121" t="str">
        <f>IFERROR(__xludf.DUMMYFUNCTION("IFERROR(TEXTJOIN("", "", TRUE, FILTER(FILTER($H$1:$K$1, $H$1:$K$1 &lt;&gt; """"), (MAP(FILTER($H$1:$K$1, $H$1:$K$1 &lt;&gt; """"), LAMBDA(player, IFNA(INDEX(Availability!$A:$AAA, MATCH($A94, Availability!$A:$A, 0), MATCH(player, Availability!$1:$1, 0))))) = ""R""))))"),"")</f>
        <v/>
      </c>
    </row>
    <row r="95">
      <c r="A95" s="118">
        <f t="shared" si="2"/>
        <v>46035</v>
      </c>
      <c r="B95" s="119">
        <f>IFERROR(__xludf.DUMMYFUNCTION("COUNTIFS(MAP(FILTER($H$1:$K$1, $H$1:$K$1 &lt;&gt; """"), LAMBDA(player, IFNA(INDEX(Availability!$A:$AAA, MATCH($A95, Availability!$A:$A, 0), MATCH(player, Availability!$1:$1, 0))))), ""X"") + COUNTIFS(MAP(FILTER($H$1:$K$1, $H$1:$K$1 &lt;&gt; """"), LAMBDA(player, IFN"&amp;"A(INDEX(Availability!$A:$AAA, MATCH($A95, Availability!$A:$A, 0), MATCH(player, Availability!$1:$1, 0))))), ""U"") + COUNTIFS(MAP(FILTER($H$1:$K$1, $H$1:$K$1 &lt;&gt; """"), LAMBDA(player, IFNA(INDEX(Availability!$A:$AAA, MATCH($A95, Availability!$A:$A, 0), MAT"&amp;"CH(player, Availability!$1:$1, 0))))), ""R"")"),0.0)</f>
        <v>0</v>
      </c>
      <c r="C95" s="120">
        <f t="shared" si="1"/>
        <v>1</v>
      </c>
      <c r="D95" s="119" t="str">
        <f>IFERROR(__xludf.DUMMYFUNCTION("SPARKLINE(C95, {""charttype"", ""bar""; ""max"", 1; ""color1"", IF(C95 &lt; 0.5, ""red"", IF(C95 &lt; 0.75, ""orange"", ""green""))})"),"")</f>
        <v/>
      </c>
      <c r="E95" s="121" t="str">
        <f>IFERROR(__xludf.DUMMYFUNCTION("IFERROR(TEXTJOIN("", "", TRUE, FILTER(FILTER($H$1:$K$1, $H$1:$K$1 &lt;&gt; """"), (MAP(FILTER($H$1:$K$1, $H$1:$K$1 &lt;&gt; """"), LAMBDA(player, IFNA(INDEX(Availability!$A:$AAA, MATCH($A95, Availability!$A:$A, 0), MATCH(player, Availability!$1:$1, 0))))) = ""U""))))"),"")</f>
        <v/>
      </c>
      <c r="F95" s="121" t="str">
        <f>IFERROR(__xludf.DUMMYFUNCTION("IFERROR(TEXTJOIN("", "", TRUE, FILTER(FILTER($H$1:$K$1, $H$1:$K$1 &lt;&gt; """"), (MAP(FILTER($H$1:$K$1, $H$1:$K$1 &lt;&gt; """"), LAMBDA(player, IFNA(INDEX(Availability!$A:$AAA, MATCH($A95, Availability!$A:$A, 0), MATCH(player, Availability!$1:$1, 0))))) = ""X""))))"),"")</f>
        <v/>
      </c>
      <c r="G95" s="121" t="str">
        <f>IFERROR(__xludf.DUMMYFUNCTION("IFERROR(TEXTJOIN("", "", TRUE, FILTER(FILTER($H$1:$K$1, $H$1:$K$1 &lt;&gt; """"), (MAP(FILTER($H$1:$K$1, $H$1:$K$1 &lt;&gt; """"), LAMBDA(player, IFNA(INDEX(Availability!$A:$AAA, MATCH($A95, Availability!$A:$A, 0), MATCH(player, Availability!$1:$1, 0))))) = ""R""))))"),"")</f>
        <v/>
      </c>
    </row>
    <row r="96">
      <c r="A96" s="118">
        <f t="shared" si="2"/>
        <v>46036</v>
      </c>
      <c r="B96" s="119">
        <f>IFERROR(__xludf.DUMMYFUNCTION("COUNTIFS(MAP(FILTER($H$1:$K$1, $H$1:$K$1 &lt;&gt; """"), LAMBDA(player, IFNA(INDEX(Availability!$A:$AAA, MATCH($A96, Availability!$A:$A, 0), MATCH(player, Availability!$1:$1, 0))))), ""X"") + COUNTIFS(MAP(FILTER($H$1:$K$1, $H$1:$K$1 &lt;&gt; """"), LAMBDA(player, IFN"&amp;"A(INDEX(Availability!$A:$AAA, MATCH($A96, Availability!$A:$A, 0), MATCH(player, Availability!$1:$1, 0))))), ""U"") + COUNTIFS(MAP(FILTER($H$1:$K$1, $H$1:$K$1 &lt;&gt; """"), LAMBDA(player, IFNA(INDEX(Availability!$A:$AAA, MATCH($A96, Availability!$A:$A, 0), MAT"&amp;"CH(player, Availability!$1:$1, 0))))), ""R"")"),0.0)</f>
        <v>0</v>
      </c>
      <c r="C96" s="120">
        <f t="shared" si="1"/>
        <v>1</v>
      </c>
      <c r="D96" s="119" t="str">
        <f>IFERROR(__xludf.DUMMYFUNCTION("SPARKLINE(C96, {""charttype"", ""bar""; ""max"", 1; ""color1"", IF(C96 &lt; 0.5, ""red"", IF(C96 &lt; 0.75, ""orange"", ""green""))})"),"")</f>
        <v/>
      </c>
      <c r="E96" s="121" t="str">
        <f>IFERROR(__xludf.DUMMYFUNCTION("IFERROR(TEXTJOIN("", "", TRUE, FILTER(FILTER($H$1:$K$1, $H$1:$K$1 &lt;&gt; """"), (MAP(FILTER($H$1:$K$1, $H$1:$K$1 &lt;&gt; """"), LAMBDA(player, IFNA(INDEX(Availability!$A:$AAA, MATCH($A96, Availability!$A:$A, 0), MATCH(player, Availability!$1:$1, 0))))) = ""U""))))"),"")</f>
        <v/>
      </c>
      <c r="F96" s="121" t="str">
        <f>IFERROR(__xludf.DUMMYFUNCTION("IFERROR(TEXTJOIN("", "", TRUE, FILTER(FILTER($H$1:$K$1, $H$1:$K$1 &lt;&gt; """"), (MAP(FILTER($H$1:$K$1, $H$1:$K$1 &lt;&gt; """"), LAMBDA(player, IFNA(INDEX(Availability!$A:$AAA, MATCH($A96, Availability!$A:$A, 0), MATCH(player, Availability!$1:$1, 0))))) = ""X""))))"),"")</f>
        <v/>
      </c>
      <c r="G96" s="121" t="str">
        <f>IFERROR(__xludf.DUMMYFUNCTION("IFERROR(TEXTJOIN("", "", TRUE, FILTER(FILTER($H$1:$K$1, $H$1:$K$1 &lt;&gt; """"), (MAP(FILTER($H$1:$K$1, $H$1:$K$1 &lt;&gt; """"), LAMBDA(player, IFNA(INDEX(Availability!$A:$AAA, MATCH($A96, Availability!$A:$A, 0), MATCH(player, Availability!$1:$1, 0))))) = ""R""))))"),"")</f>
        <v/>
      </c>
    </row>
    <row r="97">
      <c r="A97" s="118">
        <f t="shared" si="2"/>
        <v>46037</v>
      </c>
      <c r="B97" s="119">
        <f>IFERROR(__xludf.DUMMYFUNCTION("COUNTIFS(MAP(FILTER($H$1:$K$1, $H$1:$K$1 &lt;&gt; """"), LAMBDA(player, IFNA(INDEX(Availability!$A:$AAA, MATCH($A97, Availability!$A:$A, 0), MATCH(player, Availability!$1:$1, 0))))), ""X"") + COUNTIFS(MAP(FILTER($H$1:$K$1, $H$1:$K$1 &lt;&gt; """"), LAMBDA(player, IFN"&amp;"A(INDEX(Availability!$A:$AAA, MATCH($A97, Availability!$A:$A, 0), MATCH(player, Availability!$1:$1, 0))))), ""U"") + COUNTIFS(MAP(FILTER($H$1:$K$1, $H$1:$K$1 &lt;&gt; """"), LAMBDA(player, IFNA(INDEX(Availability!$A:$AAA, MATCH($A97, Availability!$A:$A, 0), MAT"&amp;"CH(player, Availability!$1:$1, 0))))), ""R"")"),0.0)</f>
        <v>0</v>
      </c>
      <c r="C97" s="120">
        <f t="shared" si="1"/>
        <v>1</v>
      </c>
      <c r="D97" s="119" t="str">
        <f>IFERROR(__xludf.DUMMYFUNCTION("SPARKLINE(C97, {""charttype"", ""bar""; ""max"", 1; ""color1"", IF(C97 &lt; 0.5, ""red"", IF(C97 &lt; 0.75, ""orange"", ""green""))})"),"")</f>
        <v/>
      </c>
      <c r="E97" s="121" t="str">
        <f>IFERROR(__xludf.DUMMYFUNCTION("IFERROR(TEXTJOIN("", "", TRUE, FILTER(FILTER($H$1:$K$1, $H$1:$K$1 &lt;&gt; """"), (MAP(FILTER($H$1:$K$1, $H$1:$K$1 &lt;&gt; """"), LAMBDA(player, IFNA(INDEX(Availability!$A:$AAA, MATCH($A97, Availability!$A:$A, 0), MATCH(player, Availability!$1:$1, 0))))) = ""U""))))"),"")</f>
        <v/>
      </c>
      <c r="F97" s="121" t="str">
        <f>IFERROR(__xludf.DUMMYFUNCTION("IFERROR(TEXTJOIN("", "", TRUE, FILTER(FILTER($H$1:$K$1, $H$1:$K$1 &lt;&gt; """"), (MAP(FILTER($H$1:$K$1, $H$1:$K$1 &lt;&gt; """"), LAMBDA(player, IFNA(INDEX(Availability!$A:$AAA, MATCH($A97, Availability!$A:$A, 0), MATCH(player, Availability!$1:$1, 0))))) = ""X""))))"),"")</f>
        <v/>
      </c>
      <c r="G97" s="121" t="str">
        <f>IFERROR(__xludf.DUMMYFUNCTION("IFERROR(TEXTJOIN("", "", TRUE, FILTER(FILTER($H$1:$K$1, $H$1:$K$1 &lt;&gt; """"), (MAP(FILTER($H$1:$K$1, $H$1:$K$1 &lt;&gt; """"), LAMBDA(player, IFNA(INDEX(Availability!$A:$AAA, MATCH($A97, Availability!$A:$A, 0), MATCH(player, Availability!$1:$1, 0))))) = ""R""))))"),"")</f>
        <v/>
      </c>
    </row>
    <row r="98">
      <c r="A98" s="118">
        <f t="shared" si="2"/>
        <v>46038</v>
      </c>
      <c r="B98" s="119">
        <f>IFERROR(__xludf.DUMMYFUNCTION("COUNTIFS(MAP(FILTER($H$1:$K$1, $H$1:$K$1 &lt;&gt; """"), LAMBDA(player, IFNA(INDEX(Availability!$A:$AAA, MATCH($A98, Availability!$A:$A, 0), MATCH(player, Availability!$1:$1, 0))))), ""X"") + COUNTIFS(MAP(FILTER($H$1:$K$1, $H$1:$K$1 &lt;&gt; """"), LAMBDA(player, IFN"&amp;"A(INDEX(Availability!$A:$AAA, MATCH($A98, Availability!$A:$A, 0), MATCH(player, Availability!$1:$1, 0))))), ""U"") + COUNTIFS(MAP(FILTER($H$1:$K$1, $H$1:$K$1 &lt;&gt; """"), LAMBDA(player, IFNA(INDEX(Availability!$A:$AAA, MATCH($A98, Availability!$A:$A, 0), MAT"&amp;"CH(player, Availability!$1:$1, 0))))), ""R"")"),0.0)</f>
        <v>0</v>
      </c>
      <c r="C98" s="120">
        <f t="shared" si="1"/>
        <v>1</v>
      </c>
      <c r="D98" s="119" t="str">
        <f>IFERROR(__xludf.DUMMYFUNCTION("SPARKLINE(C98, {""charttype"", ""bar""; ""max"", 1; ""color1"", IF(C98 &lt; 0.5, ""red"", IF(C98 &lt; 0.75, ""orange"", ""green""))})"),"")</f>
        <v/>
      </c>
      <c r="E98" s="121" t="str">
        <f>IFERROR(__xludf.DUMMYFUNCTION("IFERROR(TEXTJOIN("", "", TRUE, FILTER(FILTER($H$1:$K$1, $H$1:$K$1 &lt;&gt; """"), (MAP(FILTER($H$1:$K$1, $H$1:$K$1 &lt;&gt; """"), LAMBDA(player, IFNA(INDEX(Availability!$A:$AAA, MATCH($A98, Availability!$A:$A, 0), MATCH(player, Availability!$1:$1, 0))))) = ""U""))))"),"")</f>
        <v/>
      </c>
      <c r="F98" s="121" t="str">
        <f>IFERROR(__xludf.DUMMYFUNCTION("IFERROR(TEXTJOIN("", "", TRUE, FILTER(FILTER($H$1:$K$1, $H$1:$K$1 &lt;&gt; """"), (MAP(FILTER($H$1:$K$1, $H$1:$K$1 &lt;&gt; """"), LAMBDA(player, IFNA(INDEX(Availability!$A:$AAA, MATCH($A98, Availability!$A:$A, 0), MATCH(player, Availability!$1:$1, 0))))) = ""X""))))"),"")</f>
        <v/>
      </c>
      <c r="G98" s="121" t="str">
        <f>IFERROR(__xludf.DUMMYFUNCTION("IFERROR(TEXTJOIN("", "", TRUE, FILTER(FILTER($H$1:$K$1, $H$1:$K$1 &lt;&gt; """"), (MAP(FILTER($H$1:$K$1, $H$1:$K$1 &lt;&gt; """"), LAMBDA(player, IFNA(INDEX(Availability!$A:$AAA, MATCH($A98, Availability!$A:$A, 0), MATCH(player, Availability!$1:$1, 0))))) = ""R""))))"),"")</f>
        <v/>
      </c>
    </row>
    <row r="99">
      <c r="A99" s="118">
        <f t="shared" si="2"/>
        <v>46039</v>
      </c>
      <c r="B99" s="119">
        <f>IFERROR(__xludf.DUMMYFUNCTION("COUNTIFS(MAP(FILTER($H$1:$K$1, $H$1:$K$1 &lt;&gt; """"), LAMBDA(player, IFNA(INDEX(Availability!$A:$AAA, MATCH($A99, Availability!$A:$A, 0), MATCH(player, Availability!$1:$1, 0))))), ""X"") + COUNTIFS(MAP(FILTER($H$1:$K$1, $H$1:$K$1 &lt;&gt; """"), LAMBDA(player, IFN"&amp;"A(INDEX(Availability!$A:$AAA, MATCH($A99, Availability!$A:$A, 0), MATCH(player, Availability!$1:$1, 0))))), ""U"") + COUNTIFS(MAP(FILTER($H$1:$K$1, $H$1:$K$1 &lt;&gt; """"), LAMBDA(player, IFNA(INDEX(Availability!$A:$AAA, MATCH($A99, Availability!$A:$A, 0), MAT"&amp;"CH(player, Availability!$1:$1, 0))))), ""R"")"),1.0)</f>
        <v>1</v>
      </c>
      <c r="C99" s="120">
        <f t="shared" si="1"/>
        <v>0.75</v>
      </c>
      <c r="D99" s="119" t="str">
        <f>IFERROR(__xludf.DUMMYFUNCTION("SPARKLINE(C99, {""charttype"", ""bar""; ""max"", 1; ""color1"", IF(C99 &lt; 0.5, ""red"", IF(C99 &lt; 0.75, ""orange"", ""green""))})"),"")</f>
        <v/>
      </c>
      <c r="E99" s="121" t="str">
        <f>IFERROR(__xludf.DUMMYFUNCTION("IFERROR(TEXTJOIN("", "", TRUE, FILTER(FILTER($H$1:$K$1, $H$1:$K$1 &lt;&gt; """"), (MAP(FILTER($H$1:$K$1, $H$1:$K$1 &lt;&gt; """"), LAMBDA(player, IFNA(INDEX(Availability!$A:$AAA, MATCH($A99, Availability!$A:$A, 0), MATCH(player, Availability!$1:$1, 0))))) = ""U""))))"),"")</f>
        <v/>
      </c>
      <c r="F99" s="121" t="str">
        <f>IFERROR(__xludf.DUMMYFUNCTION("IFERROR(TEXTJOIN("", "", TRUE, FILTER(FILTER($H$1:$K$1, $H$1:$K$1 &lt;&gt; """"), (MAP(FILTER($H$1:$K$1, $H$1:$K$1 &lt;&gt; """"), LAMBDA(player, IFNA(INDEX(Availability!$A:$AAA, MATCH($A99, Availability!$A:$A, 0), MATCH(player, Availability!$1:$1, 0))))) = ""X""))))"),"")</f>
        <v/>
      </c>
      <c r="G99" s="121" t="str">
        <f>IFERROR(__xludf.DUMMYFUNCTION("IFERROR(TEXTJOIN("", "", TRUE, FILTER(FILTER($H$1:$K$1, $H$1:$K$1 &lt;&gt; """"), (MAP(FILTER($H$1:$K$1, $H$1:$K$1 &lt;&gt; """"), LAMBDA(player, IFNA(INDEX(Availability!$A:$AAA, MATCH($A99, Availability!$A:$A, 0), MATCH(player, Availability!$1:$1, 0))))) = ""R""))))"),"Grace Webster")</f>
        <v>Grace Webster</v>
      </c>
    </row>
    <row r="100">
      <c r="A100" s="118">
        <f t="shared" si="2"/>
        <v>46040</v>
      </c>
      <c r="B100" s="119">
        <f>IFERROR(__xludf.DUMMYFUNCTION("COUNTIFS(MAP(FILTER($H$1:$K$1, $H$1:$K$1 &lt;&gt; """"), LAMBDA(player, IFNA(INDEX(Availability!$A:$AAA, MATCH($A100, Availability!$A:$A, 0), MATCH(player, Availability!$1:$1, 0))))), ""X"") + COUNTIFS(MAP(FILTER($H$1:$K$1, $H$1:$K$1 &lt;&gt; """"), LAMBDA(player, IF"&amp;"NA(INDEX(Availability!$A:$AAA, MATCH($A100, Availability!$A:$A, 0), MATCH(player, Availability!$1:$1, 0))))), ""U"") + COUNTIFS(MAP(FILTER($H$1:$K$1, $H$1:$K$1 &lt;&gt; """"), LAMBDA(player, IFNA(INDEX(Availability!$A:$AAA, MATCH($A100, Availability!$A:$A, 0), "&amp;"MATCH(player, Availability!$1:$1, 0))))), ""R"")"),1.0)</f>
        <v>1</v>
      </c>
      <c r="C100" s="120">
        <f t="shared" si="1"/>
        <v>0.75</v>
      </c>
      <c r="D100" s="119" t="str">
        <f>IFERROR(__xludf.DUMMYFUNCTION("SPARKLINE(C100, {""charttype"", ""bar""; ""max"", 1; ""color1"", IF(C100 &lt; 0.5, ""red"", IF(C100 &lt; 0.75, ""orange"", ""green""))})"),"")</f>
        <v/>
      </c>
      <c r="E100" s="121" t="str">
        <f>IFERROR(__xludf.DUMMYFUNCTION("IFERROR(TEXTJOIN("", "", TRUE, FILTER(FILTER($H$1:$K$1, $H$1:$K$1 &lt;&gt; """"), (MAP(FILTER($H$1:$K$1, $H$1:$K$1 &lt;&gt; """"), LAMBDA(player, IFNA(INDEX(Availability!$A:$AAA, MATCH($A100, Availability!$A:$A, 0), MATCH(player, Availability!$1:$1, 0))))) = ""U"")))"&amp;")"),"")</f>
        <v/>
      </c>
      <c r="F100" s="121" t="str">
        <f>IFERROR(__xludf.DUMMYFUNCTION("IFERROR(TEXTJOIN("", "", TRUE, FILTER(FILTER($H$1:$K$1, $H$1:$K$1 &lt;&gt; """"), (MAP(FILTER($H$1:$K$1, $H$1:$K$1 &lt;&gt; """"), LAMBDA(player, IFNA(INDEX(Availability!$A:$AAA, MATCH($A100, Availability!$A:$A, 0), MATCH(player, Availability!$1:$1, 0))))) = ""X"")))"&amp;")"),"")</f>
        <v/>
      </c>
      <c r="G100" s="121" t="str">
        <f>IFERROR(__xludf.DUMMYFUNCTION("IFERROR(TEXTJOIN("", "", TRUE, FILTER(FILTER($H$1:$K$1, $H$1:$K$1 &lt;&gt; """"), (MAP(FILTER($H$1:$K$1, $H$1:$K$1 &lt;&gt; """"), LAMBDA(player, IFNA(INDEX(Availability!$A:$AAA, MATCH($A100, Availability!$A:$A, 0), MATCH(player, Availability!$1:$1, 0))))) = ""R"")))"&amp;")"),"Grace Webster")</f>
        <v>Grace Webster</v>
      </c>
    </row>
    <row r="101">
      <c r="A101" s="118">
        <f t="shared" si="2"/>
        <v>46041</v>
      </c>
      <c r="B101" s="119">
        <f>IFERROR(__xludf.DUMMYFUNCTION("COUNTIFS(MAP(FILTER($H$1:$K$1, $H$1:$K$1 &lt;&gt; """"), LAMBDA(player, IFNA(INDEX(Availability!$A:$AAA, MATCH($A101, Availability!$A:$A, 0), MATCH(player, Availability!$1:$1, 0))))), ""X"") + COUNTIFS(MAP(FILTER($H$1:$K$1, $H$1:$K$1 &lt;&gt; """"), LAMBDA(player, IF"&amp;"NA(INDEX(Availability!$A:$AAA, MATCH($A101, Availability!$A:$A, 0), MATCH(player, Availability!$1:$1, 0))))), ""U"") + COUNTIFS(MAP(FILTER($H$1:$K$1, $H$1:$K$1 &lt;&gt; """"), LAMBDA(player, IFNA(INDEX(Availability!$A:$AAA, MATCH($A101, Availability!$A:$A, 0), "&amp;"MATCH(player, Availability!$1:$1, 0))))), ""R"")"),1.0)</f>
        <v>1</v>
      </c>
      <c r="C101" s="120">
        <f t="shared" si="1"/>
        <v>0.75</v>
      </c>
      <c r="D101" s="119" t="str">
        <f>IFERROR(__xludf.DUMMYFUNCTION("SPARKLINE(C101, {""charttype"", ""bar""; ""max"", 1; ""color1"", IF(C101 &lt; 0.5, ""red"", IF(C101 &lt; 0.75, ""orange"", ""green""))})"),"")</f>
        <v/>
      </c>
      <c r="E101" s="121" t="str">
        <f>IFERROR(__xludf.DUMMYFUNCTION("IFERROR(TEXTJOIN("", "", TRUE, FILTER(FILTER($H$1:$K$1, $H$1:$K$1 &lt;&gt; """"), (MAP(FILTER($H$1:$K$1, $H$1:$K$1 &lt;&gt; """"), LAMBDA(player, IFNA(INDEX(Availability!$A:$AAA, MATCH($A101, Availability!$A:$A, 0), MATCH(player, Availability!$1:$1, 0))))) = ""U"")))"&amp;")"),"")</f>
        <v/>
      </c>
      <c r="F101" s="121" t="str">
        <f>IFERROR(__xludf.DUMMYFUNCTION("IFERROR(TEXTJOIN("", "", TRUE, FILTER(FILTER($H$1:$K$1, $H$1:$K$1 &lt;&gt; """"), (MAP(FILTER($H$1:$K$1, $H$1:$K$1 &lt;&gt; """"), LAMBDA(player, IFNA(INDEX(Availability!$A:$AAA, MATCH($A101, Availability!$A:$A, 0), MATCH(player, Availability!$1:$1, 0))))) = ""X"")))"&amp;")"),"Grace Webster")</f>
        <v>Grace Webster</v>
      </c>
      <c r="G101" s="121" t="str">
        <f>IFERROR(__xludf.DUMMYFUNCTION("IFERROR(TEXTJOIN("", "", TRUE, FILTER(FILTER($H$1:$K$1, $H$1:$K$1 &lt;&gt; """"), (MAP(FILTER($H$1:$K$1, $H$1:$K$1 &lt;&gt; """"), LAMBDA(player, IFNA(INDEX(Availability!$A:$AAA, MATCH($A101, Availability!$A:$A, 0), MATCH(player, Availability!$1:$1, 0))))) = ""R"")))"&amp;")"),"")</f>
        <v/>
      </c>
    </row>
    <row r="102">
      <c r="A102" s="118">
        <f t="shared" si="2"/>
        <v>46042</v>
      </c>
      <c r="B102" s="119">
        <f>IFERROR(__xludf.DUMMYFUNCTION("COUNTIFS(MAP(FILTER($H$1:$K$1, $H$1:$K$1 &lt;&gt; """"), LAMBDA(player, IFNA(INDEX(Availability!$A:$AAA, MATCH($A102, Availability!$A:$A, 0), MATCH(player, Availability!$1:$1, 0))))), ""X"") + COUNTIFS(MAP(FILTER($H$1:$K$1, $H$1:$K$1 &lt;&gt; """"), LAMBDA(player, IF"&amp;"NA(INDEX(Availability!$A:$AAA, MATCH($A102, Availability!$A:$A, 0), MATCH(player, Availability!$1:$1, 0))))), ""U"") + COUNTIFS(MAP(FILTER($H$1:$K$1, $H$1:$K$1 &lt;&gt; """"), LAMBDA(player, IFNA(INDEX(Availability!$A:$AAA, MATCH($A102, Availability!$A:$A, 0), "&amp;"MATCH(player, Availability!$1:$1, 0))))), ""R"")"),2.0)</f>
        <v>2</v>
      </c>
      <c r="C102" s="120">
        <f t="shared" si="1"/>
        <v>0.5</v>
      </c>
      <c r="D102" s="119" t="str">
        <f>IFERROR(__xludf.DUMMYFUNCTION("SPARKLINE(C102, {""charttype"", ""bar""; ""max"", 1; ""color1"", IF(C102 &lt; 0.5, ""red"", IF(C102 &lt; 0.75, ""orange"", ""green""))})"),"")</f>
        <v/>
      </c>
      <c r="E102" s="121" t="str">
        <f>IFERROR(__xludf.DUMMYFUNCTION("IFERROR(TEXTJOIN("", "", TRUE, FILTER(FILTER($H$1:$K$1, $H$1:$K$1 &lt;&gt; """"), (MAP(FILTER($H$1:$K$1, $H$1:$K$1 &lt;&gt; """"), LAMBDA(player, IFNA(INDEX(Availability!$A:$AAA, MATCH($A102, Availability!$A:$A, 0), MATCH(player, Availability!$1:$1, 0))))) = ""U"")))"&amp;")"),"")</f>
        <v/>
      </c>
      <c r="F102" s="121" t="str">
        <f>IFERROR(__xludf.DUMMYFUNCTION("IFERROR(TEXTJOIN("", "", TRUE, FILTER(FILTER($H$1:$K$1, $H$1:$K$1 &lt;&gt; """"), (MAP(FILTER($H$1:$K$1, $H$1:$K$1 &lt;&gt; """"), LAMBDA(player, IFNA(INDEX(Availability!$A:$AAA, MATCH($A102, Availability!$A:$A, 0), MATCH(player, Availability!$1:$1, 0))))) = ""X"")))"&amp;")"),"")</f>
        <v/>
      </c>
      <c r="G102" s="121" t="str">
        <f>IFERROR(__xludf.DUMMYFUNCTION("IFERROR(TEXTJOIN("", "", TRUE, FILTER(FILTER($H$1:$K$1, $H$1:$K$1 &lt;&gt; """"), (MAP(FILTER($H$1:$K$1, $H$1:$K$1 &lt;&gt; """"), LAMBDA(player, IFNA(INDEX(Availability!$A:$AAA, MATCH($A102, Availability!$A:$A, 0), MATCH(player, Availability!$1:$1, 0))))) = ""R"")))"&amp;")"),"Robbie Frost, Grace Webster")</f>
        <v>Robbie Frost, Grace Webster</v>
      </c>
    </row>
    <row r="103">
      <c r="A103" s="118">
        <f t="shared" si="2"/>
        <v>46043</v>
      </c>
      <c r="B103" s="119">
        <f>IFERROR(__xludf.DUMMYFUNCTION("COUNTIFS(MAP(FILTER($H$1:$K$1, $H$1:$K$1 &lt;&gt; """"), LAMBDA(player, IFNA(INDEX(Availability!$A:$AAA, MATCH($A103, Availability!$A:$A, 0), MATCH(player, Availability!$1:$1, 0))))), ""X"") + COUNTIFS(MAP(FILTER($H$1:$K$1, $H$1:$K$1 &lt;&gt; """"), LAMBDA(player, IF"&amp;"NA(INDEX(Availability!$A:$AAA, MATCH($A103, Availability!$A:$A, 0), MATCH(player, Availability!$1:$1, 0))))), ""U"") + COUNTIFS(MAP(FILTER($H$1:$K$1, $H$1:$K$1 &lt;&gt; """"), LAMBDA(player, IFNA(INDEX(Availability!$A:$AAA, MATCH($A103, Availability!$A:$A, 0), "&amp;"MATCH(player, Availability!$1:$1, 0))))), ""R"")"),2.0)</f>
        <v>2</v>
      </c>
      <c r="C103" s="120">
        <f t="shared" si="1"/>
        <v>0.5</v>
      </c>
      <c r="D103" s="119" t="str">
        <f>IFERROR(__xludf.DUMMYFUNCTION("SPARKLINE(C103, {""charttype"", ""bar""; ""max"", 1; ""color1"", IF(C103 &lt; 0.5, ""red"", IF(C103 &lt; 0.75, ""orange"", ""green""))})"),"")</f>
        <v/>
      </c>
      <c r="E103" s="121" t="str">
        <f>IFERROR(__xludf.DUMMYFUNCTION("IFERROR(TEXTJOIN("", "", TRUE, FILTER(FILTER($H$1:$K$1, $H$1:$K$1 &lt;&gt; """"), (MAP(FILTER($H$1:$K$1, $H$1:$K$1 &lt;&gt; """"), LAMBDA(player, IFNA(INDEX(Availability!$A:$AAA, MATCH($A103, Availability!$A:$A, 0), MATCH(player, Availability!$1:$1, 0))))) = ""U"")))"&amp;")"),"")</f>
        <v/>
      </c>
      <c r="F103" s="121" t="str">
        <f>IFERROR(__xludf.DUMMYFUNCTION("IFERROR(TEXTJOIN("", "", TRUE, FILTER(FILTER($H$1:$K$1, $H$1:$K$1 &lt;&gt; """"), (MAP(FILTER($H$1:$K$1, $H$1:$K$1 &lt;&gt; """"), LAMBDA(player, IFNA(INDEX(Availability!$A:$AAA, MATCH($A103, Availability!$A:$A, 0), MATCH(player, Availability!$1:$1, 0))))) = ""X"")))"&amp;")"),"")</f>
        <v/>
      </c>
      <c r="G103" s="121" t="str">
        <f>IFERROR(__xludf.DUMMYFUNCTION("IFERROR(TEXTJOIN("", "", TRUE, FILTER(FILTER($H$1:$K$1, $H$1:$K$1 &lt;&gt; """"), (MAP(FILTER($H$1:$K$1, $H$1:$K$1 &lt;&gt; """"), LAMBDA(player, IFNA(INDEX(Availability!$A:$AAA, MATCH($A103, Availability!$A:$A, 0), MATCH(player, Availability!$1:$1, 0))))) = ""R"")))"&amp;")"),"Robbie Frost, Grace Webster")</f>
        <v>Robbie Frost, Grace Webster</v>
      </c>
    </row>
    <row r="104">
      <c r="A104" s="118">
        <f t="shared" si="2"/>
        <v>46044</v>
      </c>
      <c r="B104" s="119">
        <f>IFERROR(__xludf.DUMMYFUNCTION("COUNTIFS(MAP(FILTER($H$1:$K$1, $H$1:$K$1 &lt;&gt; """"), LAMBDA(player, IFNA(INDEX(Availability!$A:$AAA, MATCH($A104, Availability!$A:$A, 0), MATCH(player, Availability!$1:$1, 0))))), ""X"") + COUNTIFS(MAP(FILTER($H$1:$K$1, $H$1:$K$1 &lt;&gt; """"), LAMBDA(player, IF"&amp;"NA(INDEX(Availability!$A:$AAA, MATCH($A104, Availability!$A:$A, 0), MATCH(player, Availability!$1:$1, 0))))), ""U"") + COUNTIFS(MAP(FILTER($H$1:$K$1, $H$1:$K$1 &lt;&gt; """"), LAMBDA(player, IFNA(INDEX(Availability!$A:$AAA, MATCH($A104, Availability!$A:$A, 0), "&amp;"MATCH(player, Availability!$1:$1, 0))))), ""R"")"),1.0)</f>
        <v>1</v>
      </c>
      <c r="C104" s="120">
        <f t="shared" si="1"/>
        <v>0.75</v>
      </c>
      <c r="D104" s="119" t="str">
        <f>IFERROR(__xludf.DUMMYFUNCTION("SPARKLINE(C104, {""charttype"", ""bar""; ""max"", 1; ""color1"", IF(C104 &lt; 0.5, ""red"", IF(C104 &lt; 0.75, ""orange"", ""green""))})"),"")</f>
        <v/>
      </c>
      <c r="E104" s="121" t="str">
        <f>IFERROR(__xludf.DUMMYFUNCTION("IFERROR(TEXTJOIN("", "", TRUE, FILTER(FILTER($H$1:$K$1, $H$1:$K$1 &lt;&gt; """"), (MAP(FILTER($H$1:$K$1, $H$1:$K$1 &lt;&gt; """"), LAMBDA(player, IFNA(INDEX(Availability!$A:$AAA, MATCH($A104, Availability!$A:$A, 0), MATCH(player, Availability!$1:$1, 0))))) = ""U"")))"&amp;")"),"")</f>
        <v/>
      </c>
      <c r="F104" s="121" t="str">
        <f>IFERROR(__xludf.DUMMYFUNCTION("IFERROR(TEXTJOIN("", "", TRUE, FILTER(FILTER($H$1:$K$1, $H$1:$K$1 &lt;&gt; """"), (MAP(FILTER($H$1:$K$1, $H$1:$K$1 &lt;&gt; """"), LAMBDA(player, IFNA(INDEX(Availability!$A:$AAA, MATCH($A104, Availability!$A:$A, 0), MATCH(player, Availability!$1:$1, 0))))) = ""X"")))"&amp;")"),"Robbie Frost")</f>
        <v>Robbie Frost</v>
      </c>
      <c r="G104" s="121" t="str">
        <f>IFERROR(__xludf.DUMMYFUNCTION("IFERROR(TEXTJOIN("", "", TRUE, FILTER(FILTER($H$1:$K$1, $H$1:$K$1 &lt;&gt; """"), (MAP(FILTER($H$1:$K$1, $H$1:$K$1 &lt;&gt; """"), LAMBDA(player, IFNA(INDEX(Availability!$A:$AAA, MATCH($A104, Availability!$A:$A, 0), MATCH(player, Availability!$1:$1, 0))))) = ""R"")))"&amp;")"),"")</f>
        <v/>
      </c>
    </row>
    <row r="105">
      <c r="A105" s="118">
        <f t="shared" si="2"/>
        <v>46045</v>
      </c>
      <c r="B105" s="119">
        <f>IFERROR(__xludf.DUMMYFUNCTION("COUNTIFS(MAP(FILTER($H$1:$K$1, $H$1:$K$1 &lt;&gt; """"), LAMBDA(player, IFNA(INDEX(Availability!$A:$AAA, MATCH($A105, Availability!$A:$A, 0), MATCH(player, Availability!$1:$1, 0))))), ""X"") + COUNTIFS(MAP(FILTER($H$1:$K$1, $H$1:$K$1 &lt;&gt; """"), LAMBDA(player, IF"&amp;"NA(INDEX(Availability!$A:$AAA, MATCH($A105, Availability!$A:$A, 0), MATCH(player, Availability!$1:$1, 0))))), ""U"") + COUNTIFS(MAP(FILTER($H$1:$K$1, $H$1:$K$1 &lt;&gt; """"), LAMBDA(player, IFNA(INDEX(Availability!$A:$AAA, MATCH($A105, Availability!$A:$A, 0), "&amp;"MATCH(player, Availability!$1:$1, 0))))), ""R"")"),1.0)</f>
        <v>1</v>
      </c>
      <c r="C105" s="120">
        <f t="shared" si="1"/>
        <v>0.75</v>
      </c>
      <c r="D105" s="119" t="str">
        <f>IFERROR(__xludf.DUMMYFUNCTION("SPARKLINE(C105, {""charttype"", ""bar""; ""max"", 1; ""color1"", IF(C105 &lt; 0.5, ""red"", IF(C105 &lt; 0.75, ""orange"", ""green""))})"),"")</f>
        <v/>
      </c>
      <c r="E105" s="121" t="str">
        <f>IFERROR(__xludf.DUMMYFUNCTION("IFERROR(TEXTJOIN("", "", TRUE, FILTER(FILTER($H$1:$K$1, $H$1:$K$1 &lt;&gt; """"), (MAP(FILTER($H$1:$K$1, $H$1:$K$1 &lt;&gt; """"), LAMBDA(player, IFNA(INDEX(Availability!$A:$AAA, MATCH($A105, Availability!$A:$A, 0), MATCH(player, Availability!$1:$1, 0))))) = ""U"")))"&amp;")"),"")</f>
        <v/>
      </c>
      <c r="F105" s="121" t="str">
        <f>IFERROR(__xludf.DUMMYFUNCTION("IFERROR(TEXTJOIN("", "", TRUE, FILTER(FILTER($H$1:$K$1, $H$1:$K$1 &lt;&gt; """"), (MAP(FILTER($H$1:$K$1, $H$1:$K$1 &lt;&gt; """"), LAMBDA(player, IFNA(INDEX(Availability!$A:$AAA, MATCH($A105, Availability!$A:$A, 0), MATCH(player, Availability!$1:$1, 0))))) = ""X"")))"&amp;")"),"")</f>
        <v/>
      </c>
      <c r="G105" s="121" t="str">
        <f>IFERROR(__xludf.DUMMYFUNCTION("IFERROR(TEXTJOIN("", "", TRUE, FILTER(FILTER($H$1:$K$1, $H$1:$K$1 &lt;&gt; """"), (MAP(FILTER($H$1:$K$1, $H$1:$K$1 &lt;&gt; """"), LAMBDA(player, IFNA(INDEX(Availability!$A:$AAA, MATCH($A105, Availability!$A:$A, 0), MATCH(player, Availability!$1:$1, 0))))) = ""R"")))"&amp;")"),"Robbie Frost")</f>
        <v>Robbie Frost</v>
      </c>
    </row>
    <row r="106">
      <c r="A106" s="118">
        <f t="shared" si="2"/>
        <v>46046</v>
      </c>
      <c r="B106" s="119">
        <f>IFERROR(__xludf.DUMMYFUNCTION("COUNTIFS(MAP(FILTER($H$1:$K$1, $H$1:$K$1 &lt;&gt; """"), LAMBDA(player, IFNA(INDEX(Availability!$A:$AAA, MATCH($A106, Availability!$A:$A, 0), MATCH(player, Availability!$1:$1, 0))))), ""X"") + COUNTIFS(MAP(FILTER($H$1:$K$1, $H$1:$K$1 &lt;&gt; """"), LAMBDA(player, IF"&amp;"NA(INDEX(Availability!$A:$AAA, MATCH($A106, Availability!$A:$A, 0), MATCH(player, Availability!$1:$1, 0))))), ""U"") + COUNTIFS(MAP(FILTER($H$1:$K$1, $H$1:$K$1 &lt;&gt; """"), LAMBDA(player, IFNA(INDEX(Availability!$A:$AAA, MATCH($A106, Availability!$A:$A, 0), "&amp;"MATCH(player, Availability!$1:$1, 0))))), ""R"")"),2.0)</f>
        <v>2</v>
      </c>
      <c r="C106" s="120">
        <f t="shared" si="1"/>
        <v>0.5</v>
      </c>
      <c r="D106" s="119" t="str">
        <f>IFERROR(__xludf.DUMMYFUNCTION("SPARKLINE(C106, {""charttype"", ""bar""; ""max"", 1; ""color1"", IF(C106 &lt; 0.5, ""red"", IF(C106 &lt; 0.75, ""orange"", ""green""))})"),"")</f>
        <v/>
      </c>
      <c r="E106" s="121" t="str">
        <f>IFERROR(__xludf.DUMMYFUNCTION("IFERROR(TEXTJOIN("", "", TRUE, FILTER(FILTER($H$1:$K$1, $H$1:$K$1 &lt;&gt; """"), (MAP(FILTER($H$1:$K$1, $H$1:$K$1 &lt;&gt; """"), LAMBDA(player, IFNA(INDEX(Availability!$A:$AAA, MATCH($A106, Availability!$A:$A, 0), MATCH(player, Availability!$1:$1, 0))))) = ""U"")))"&amp;")"),"")</f>
        <v/>
      </c>
      <c r="F106" s="121" t="str">
        <f>IFERROR(__xludf.DUMMYFUNCTION("IFERROR(TEXTJOIN("", "", TRUE, FILTER(FILTER($H$1:$K$1, $H$1:$K$1 &lt;&gt; """"), (MAP(FILTER($H$1:$K$1, $H$1:$K$1 &lt;&gt; """"), LAMBDA(player, IFNA(INDEX(Availability!$A:$AAA, MATCH($A106, Availability!$A:$A, 0), MATCH(player, Availability!$1:$1, 0))))) = ""X"")))"&amp;")"),"")</f>
        <v/>
      </c>
      <c r="G106" s="121" t="str">
        <f>IFERROR(__xludf.DUMMYFUNCTION("IFERROR(TEXTJOIN("", "", TRUE, FILTER(FILTER($H$1:$K$1, $H$1:$K$1 &lt;&gt; """"), (MAP(FILTER($H$1:$K$1, $H$1:$K$1 &lt;&gt; """"), LAMBDA(player, IFNA(INDEX(Availability!$A:$AAA, MATCH($A106, Availability!$A:$A, 0), MATCH(player, Availability!$1:$1, 0))))) = ""R"")))"&amp;")"),"Robbie Frost, Grace Webster")</f>
        <v>Robbie Frost, Grace Webster</v>
      </c>
    </row>
    <row r="107">
      <c r="A107" s="118">
        <f t="shared" si="2"/>
        <v>46047</v>
      </c>
      <c r="B107" s="119">
        <f>IFERROR(__xludf.DUMMYFUNCTION("COUNTIFS(MAP(FILTER($H$1:$K$1, $H$1:$K$1 &lt;&gt; """"), LAMBDA(player, IFNA(INDEX(Availability!$A:$AAA, MATCH($A107, Availability!$A:$A, 0), MATCH(player, Availability!$1:$1, 0))))), ""X"") + COUNTIFS(MAP(FILTER($H$1:$K$1, $H$1:$K$1 &lt;&gt; """"), LAMBDA(player, IF"&amp;"NA(INDEX(Availability!$A:$AAA, MATCH($A107, Availability!$A:$A, 0), MATCH(player, Availability!$1:$1, 0))))), ""U"") + COUNTIFS(MAP(FILTER($H$1:$K$1, $H$1:$K$1 &lt;&gt; """"), LAMBDA(player, IFNA(INDEX(Availability!$A:$AAA, MATCH($A107, Availability!$A:$A, 0), "&amp;"MATCH(player, Availability!$1:$1, 0))))), ""R"")"),1.0)</f>
        <v>1</v>
      </c>
      <c r="C107" s="120">
        <f t="shared" si="1"/>
        <v>0.75</v>
      </c>
      <c r="D107" s="119" t="str">
        <f>IFERROR(__xludf.DUMMYFUNCTION("SPARKLINE(C107, {""charttype"", ""bar""; ""max"", 1; ""color1"", IF(C107 &lt; 0.5, ""red"", IF(C107 &lt; 0.75, ""orange"", ""green""))})"),"")</f>
        <v/>
      </c>
      <c r="E107" s="121" t="str">
        <f>IFERROR(__xludf.DUMMYFUNCTION("IFERROR(TEXTJOIN("", "", TRUE, FILTER(FILTER($H$1:$K$1, $H$1:$K$1 &lt;&gt; """"), (MAP(FILTER($H$1:$K$1, $H$1:$K$1 &lt;&gt; """"), LAMBDA(player, IFNA(INDEX(Availability!$A:$AAA, MATCH($A107, Availability!$A:$A, 0), MATCH(player, Availability!$1:$1, 0))))) = ""U"")))"&amp;")"),"")</f>
        <v/>
      </c>
      <c r="F107" s="121" t="str">
        <f>IFERROR(__xludf.DUMMYFUNCTION("IFERROR(TEXTJOIN("", "", TRUE, FILTER(FILTER($H$1:$K$1, $H$1:$K$1 &lt;&gt; """"), (MAP(FILTER($H$1:$K$1, $H$1:$K$1 &lt;&gt; """"), LAMBDA(player, IFNA(INDEX(Availability!$A:$AAA, MATCH($A107, Availability!$A:$A, 0), MATCH(player, Availability!$1:$1, 0))))) = ""X"")))"&amp;")"),"")</f>
        <v/>
      </c>
      <c r="G107" s="121" t="str">
        <f>IFERROR(__xludf.DUMMYFUNCTION("IFERROR(TEXTJOIN("", "", TRUE, FILTER(FILTER($H$1:$K$1, $H$1:$K$1 &lt;&gt; """"), (MAP(FILTER($H$1:$K$1, $H$1:$K$1 &lt;&gt; """"), LAMBDA(player, IFNA(INDEX(Availability!$A:$AAA, MATCH($A107, Availability!$A:$A, 0), MATCH(player, Availability!$1:$1, 0))))) = ""R"")))"&amp;")"),"Grace Webster")</f>
        <v>Grace Webster</v>
      </c>
    </row>
    <row r="108">
      <c r="A108" s="118">
        <f t="shared" si="2"/>
        <v>46048</v>
      </c>
      <c r="B108" s="119">
        <f>IFERROR(__xludf.DUMMYFUNCTION("COUNTIFS(MAP(FILTER($H$1:$K$1, $H$1:$K$1 &lt;&gt; """"), LAMBDA(player, IFNA(INDEX(Availability!$A:$AAA, MATCH($A108, Availability!$A:$A, 0), MATCH(player, Availability!$1:$1, 0))))), ""X"") + COUNTIFS(MAP(FILTER($H$1:$K$1, $H$1:$K$1 &lt;&gt; """"), LAMBDA(player, IF"&amp;"NA(INDEX(Availability!$A:$AAA, MATCH($A108, Availability!$A:$A, 0), MATCH(player, Availability!$1:$1, 0))))), ""U"") + COUNTIFS(MAP(FILTER($H$1:$K$1, $H$1:$K$1 &lt;&gt; """"), LAMBDA(player, IFNA(INDEX(Availability!$A:$AAA, MATCH($A108, Availability!$A:$A, 0), "&amp;"MATCH(player, Availability!$1:$1, 0))))), ""R"")"),1.0)</f>
        <v>1</v>
      </c>
      <c r="C108" s="120">
        <f t="shared" si="1"/>
        <v>0.75</v>
      </c>
      <c r="D108" s="119" t="str">
        <f>IFERROR(__xludf.DUMMYFUNCTION("SPARKLINE(C108, {""charttype"", ""bar""; ""max"", 1; ""color1"", IF(C108 &lt; 0.5, ""red"", IF(C108 &lt; 0.75, ""orange"", ""green""))})"),"")</f>
        <v/>
      </c>
      <c r="E108" s="121" t="str">
        <f>IFERROR(__xludf.DUMMYFUNCTION("IFERROR(TEXTJOIN("", "", TRUE, FILTER(FILTER($H$1:$K$1, $H$1:$K$1 &lt;&gt; """"), (MAP(FILTER($H$1:$K$1, $H$1:$K$1 &lt;&gt; """"), LAMBDA(player, IFNA(INDEX(Availability!$A:$AAA, MATCH($A108, Availability!$A:$A, 0), MATCH(player, Availability!$1:$1, 0))))) = ""U"")))"&amp;")"),"")</f>
        <v/>
      </c>
      <c r="F108" s="121" t="str">
        <f>IFERROR(__xludf.DUMMYFUNCTION("IFERROR(TEXTJOIN("", "", TRUE, FILTER(FILTER($H$1:$K$1, $H$1:$K$1 &lt;&gt; """"), (MAP(FILTER($H$1:$K$1, $H$1:$K$1 &lt;&gt; """"), LAMBDA(player, IFNA(INDEX(Availability!$A:$AAA, MATCH($A108, Availability!$A:$A, 0), MATCH(player, Availability!$1:$1, 0))))) = ""X"")))"&amp;")"),"Grace Webster")</f>
        <v>Grace Webster</v>
      </c>
      <c r="G108" s="121" t="str">
        <f>IFERROR(__xludf.DUMMYFUNCTION("IFERROR(TEXTJOIN("", "", TRUE, FILTER(FILTER($H$1:$K$1, $H$1:$K$1 &lt;&gt; """"), (MAP(FILTER($H$1:$K$1, $H$1:$K$1 &lt;&gt; """"), LAMBDA(player, IFNA(INDEX(Availability!$A:$AAA, MATCH($A108, Availability!$A:$A, 0), MATCH(player, Availability!$1:$1, 0))))) = ""R"")))"&amp;")"),"")</f>
        <v/>
      </c>
    </row>
    <row r="109">
      <c r="A109" s="118">
        <f t="shared" si="2"/>
        <v>46049</v>
      </c>
      <c r="B109" s="119">
        <f>IFERROR(__xludf.DUMMYFUNCTION("COUNTIFS(MAP(FILTER($H$1:$K$1, $H$1:$K$1 &lt;&gt; """"), LAMBDA(player, IFNA(INDEX(Availability!$A:$AAA, MATCH($A109, Availability!$A:$A, 0), MATCH(player, Availability!$1:$1, 0))))), ""X"") + COUNTIFS(MAP(FILTER($H$1:$K$1, $H$1:$K$1 &lt;&gt; """"), LAMBDA(player, IF"&amp;"NA(INDEX(Availability!$A:$AAA, MATCH($A109, Availability!$A:$A, 0), MATCH(player, Availability!$1:$1, 0))))), ""U"") + COUNTIFS(MAP(FILTER($H$1:$K$1, $H$1:$K$1 &lt;&gt; """"), LAMBDA(player, IFNA(INDEX(Availability!$A:$AAA, MATCH($A109, Availability!$A:$A, 0), "&amp;"MATCH(player, Availability!$1:$1, 0))))), ""R"")"),4.0)</f>
        <v>4</v>
      </c>
      <c r="C109" s="120">
        <f t="shared" si="1"/>
        <v>0</v>
      </c>
      <c r="D109" s="119" t="str">
        <f>IFERROR(__xludf.DUMMYFUNCTION("SPARKLINE(C109, {""charttype"", ""bar""; ""max"", 1; ""color1"", IF(C109 &lt; 0.5, ""red"", IF(C109 &lt; 0.75, ""orange"", ""green""))})"),"")</f>
        <v/>
      </c>
      <c r="E109" s="121" t="str">
        <f>IFERROR(__xludf.DUMMYFUNCTION("IFERROR(TEXTJOIN("", "", TRUE, FILTER(FILTER($H$1:$K$1, $H$1:$K$1 &lt;&gt; """"), (MAP(FILTER($H$1:$K$1, $H$1:$K$1 &lt;&gt; """"), LAMBDA(player, IFNA(INDEX(Availability!$A:$AAA, MATCH($A109, Availability!$A:$A, 0), MATCH(player, Availability!$1:$1, 0))))) = ""U"")))"&amp;")"),"")</f>
        <v/>
      </c>
      <c r="F109" s="121" t="str">
        <f>IFERROR(__xludf.DUMMYFUNCTION("IFERROR(TEXTJOIN("", "", TRUE, FILTER(FILTER($H$1:$K$1, $H$1:$K$1 &lt;&gt; """"), (MAP(FILTER($H$1:$K$1, $H$1:$K$1 &lt;&gt; """"), LAMBDA(player, IFNA(INDEX(Availability!$A:$AAA, MATCH($A109, Availability!$A:$A, 0), MATCH(player, Availability!$1:$1, 0))))) = ""X"")))"&amp;")"),"")</f>
        <v/>
      </c>
      <c r="G109" s="121" t="str">
        <f>IFERROR(__xludf.DUMMYFUNCTION("IFERROR(TEXTJOIN("", "", TRUE, FILTER(FILTER($H$1:$K$1, $H$1:$K$1 &lt;&gt; """"), (MAP(FILTER($H$1:$K$1, $H$1:$K$1 &lt;&gt; """"), LAMBDA(player, IFNA(INDEX(Availability!$A:$AAA, MATCH($A109, Availability!$A:$A, 0), MATCH(player, Availability!$1:$1, 0))))) = ""R"")))"&amp;")"),"Nejc Ceplak, Robbie Frost, Kate Frost, Grace Webster")</f>
        <v>Nejc Ceplak, Robbie Frost, Kate Frost, Grace Webster</v>
      </c>
    </row>
    <row r="110">
      <c r="A110" s="118">
        <f t="shared" si="2"/>
        <v>46050</v>
      </c>
      <c r="B110" s="119">
        <f>IFERROR(__xludf.DUMMYFUNCTION("COUNTIFS(MAP(FILTER($H$1:$K$1, $H$1:$K$1 &lt;&gt; """"), LAMBDA(player, IFNA(INDEX(Availability!$A:$AAA, MATCH($A110, Availability!$A:$A, 0), MATCH(player, Availability!$1:$1, 0))))), ""X"") + COUNTIFS(MAP(FILTER($H$1:$K$1, $H$1:$K$1 &lt;&gt; """"), LAMBDA(player, IF"&amp;"NA(INDEX(Availability!$A:$AAA, MATCH($A110, Availability!$A:$A, 0), MATCH(player, Availability!$1:$1, 0))))), ""U"") + COUNTIFS(MAP(FILTER($H$1:$K$1, $H$1:$K$1 &lt;&gt; """"), LAMBDA(player, IFNA(INDEX(Availability!$A:$AAA, MATCH($A110, Availability!$A:$A, 0), "&amp;"MATCH(player, Availability!$1:$1, 0))))), ""R"")"),4.0)</f>
        <v>4</v>
      </c>
      <c r="C110" s="120">
        <f t="shared" si="1"/>
        <v>0</v>
      </c>
      <c r="D110" s="119" t="str">
        <f>IFERROR(__xludf.DUMMYFUNCTION("SPARKLINE(C110, {""charttype"", ""bar""; ""max"", 1; ""color1"", IF(C110 &lt; 0.5, ""red"", IF(C110 &lt; 0.75, ""orange"", ""green""))})"),"")</f>
        <v/>
      </c>
      <c r="E110" s="121" t="str">
        <f>IFERROR(__xludf.DUMMYFUNCTION("IFERROR(TEXTJOIN("", "", TRUE, FILTER(FILTER($H$1:$K$1, $H$1:$K$1 &lt;&gt; """"), (MAP(FILTER($H$1:$K$1, $H$1:$K$1 &lt;&gt; """"), LAMBDA(player, IFNA(INDEX(Availability!$A:$AAA, MATCH($A110, Availability!$A:$A, 0), MATCH(player, Availability!$1:$1, 0))))) = ""U"")))"&amp;")"),"")</f>
        <v/>
      </c>
      <c r="F110" s="121" t="str">
        <f>IFERROR(__xludf.DUMMYFUNCTION("IFERROR(TEXTJOIN("", "", TRUE, FILTER(FILTER($H$1:$K$1, $H$1:$K$1 &lt;&gt; """"), (MAP(FILTER($H$1:$K$1, $H$1:$K$1 &lt;&gt; """"), LAMBDA(player, IFNA(INDEX(Availability!$A:$AAA, MATCH($A110, Availability!$A:$A, 0), MATCH(player, Availability!$1:$1, 0))))) = ""X"")))"&amp;")"),"")</f>
        <v/>
      </c>
      <c r="G110" s="121" t="str">
        <f>IFERROR(__xludf.DUMMYFUNCTION("IFERROR(TEXTJOIN("", "", TRUE, FILTER(FILTER($H$1:$K$1, $H$1:$K$1 &lt;&gt; """"), (MAP(FILTER($H$1:$K$1, $H$1:$K$1 &lt;&gt; """"), LAMBDA(player, IFNA(INDEX(Availability!$A:$AAA, MATCH($A110, Availability!$A:$A, 0), MATCH(player, Availability!$1:$1, 0))))) = ""R"")))"&amp;")"),"Nejc Ceplak, Robbie Frost, Kate Frost, Grace Webster")</f>
        <v>Nejc Ceplak, Robbie Frost, Kate Frost, Grace Webster</v>
      </c>
    </row>
    <row r="111">
      <c r="A111" s="118">
        <f t="shared" si="2"/>
        <v>46051</v>
      </c>
      <c r="B111" s="119">
        <f>IFERROR(__xludf.DUMMYFUNCTION("COUNTIFS(MAP(FILTER($H$1:$K$1, $H$1:$K$1 &lt;&gt; """"), LAMBDA(player, IFNA(INDEX(Availability!$A:$AAA, MATCH($A111, Availability!$A:$A, 0), MATCH(player, Availability!$1:$1, 0))))), ""X"") + COUNTIFS(MAP(FILTER($H$1:$K$1, $H$1:$K$1 &lt;&gt; """"), LAMBDA(player, IF"&amp;"NA(INDEX(Availability!$A:$AAA, MATCH($A111, Availability!$A:$A, 0), MATCH(player, Availability!$1:$1, 0))))), ""U"") + COUNTIFS(MAP(FILTER($H$1:$K$1, $H$1:$K$1 &lt;&gt; """"), LAMBDA(player, IFNA(INDEX(Availability!$A:$AAA, MATCH($A111, Availability!$A:$A, 0), "&amp;"MATCH(player, Availability!$1:$1, 0))))), ""R"")"),4.0)</f>
        <v>4</v>
      </c>
      <c r="C111" s="120">
        <f t="shared" si="1"/>
        <v>0</v>
      </c>
      <c r="D111" s="119" t="str">
        <f>IFERROR(__xludf.DUMMYFUNCTION("SPARKLINE(C111, {""charttype"", ""bar""; ""max"", 1; ""color1"", IF(C111 &lt; 0.5, ""red"", IF(C111 &lt; 0.75, ""orange"", ""green""))})"),"")</f>
        <v/>
      </c>
      <c r="E111" s="121" t="str">
        <f>IFERROR(__xludf.DUMMYFUNCTION("IFERROR(TEXTJOIN("", "", TRUE, FILTER(FILTER($H$1:$K$1, $H$1:$K$1 &lt;&gt; """"), (MAP(FILTER($H$1:$K$1, $H$1:$K$1 &lt;&gt; """"), LAMBDA(player, IFNA(INDEX(Availability!$A:$AAA, MATCH($A111, Availability!$A:$A, 0), MATCH(player, Availability!$1:$1, 0))))) = ""U"")))"&amp;")"),"")</f>
        <v/>
      </c>
      <c r="F111" s="121" t="str">
        <f>IFERROR(__xludf.DUMMYFUNCTION("IFERROR(TEXTJOIN("", "", TRUE, FILTER(FILTER($H$1:$K$1, $H$1:$K$1 &lt;&gt; """"), (MAP(FILTER($H$1:$K$1, $H$1:$K$1 &lt;&gt; """"), LAMBDA(player, IFNA(INDEX(Availability!$A:$AAA, MATCH($A111, Availability!$A:$A, 0), MATCH(player, Availability!$1:$1, 0))))) = ""X"")))"&amp;")"),"Nejc Ceplak, Robbie Frost, Kate Frost, Grace Webster")</f>
        <v>Nejc Ceplak, Robbie Frost, Kate Frost, Grace Webster</v>
      </c>
      <c r="G111" s="121" t="str">
        <f>IFERROR(__xludf.DUMMYFUNCTION("IFERROR(TEXTJOIN("", "", TRUE, FILTER(FILTER($H$1:$K$1, $H$1:$K$1 &lt;&gt; """"), (MAP(FILTER($H$1:$K$1, $H$1:$K$1 &lt;&gt; """"), LAMBDA(player, IFNA(INDEX(Availability!$A:$AAA, MATCH($A111, Availability!$A:$A, 0), MATCH(player, Availability!$1:$1, 0))))) = ""R"")))"&amp;")"),"")</f>
        <v/>
      </c>
    </row>
    <row r="112">
      <c r="A112" s="118">
        <f t="shared" si="2"/>
        <v>46052</v>
      </c>
      <c r="B112" s="119">
        <f>IFERROR(__xludf.DUMMYFUNCTION("COUNTIFS(MAP(FILTER($H$1:$K$1, $H$1:$K$1 &lt;&gt; """"), LAMBDA(player, IFNA(INDEX(Availability!$A:$AAA, MATCH($A112, Availability!$A:$A, 0), MATCH(player, Availability!$1:$1, 0))))), ""X"") + COUNTIFS(MAP(FILTER($H$1:$K$1, $H$1:$K$1 &lt;&gt; """"), LAMBDA(player, IF"&amp;"NA(INDEX(Availability!$A:$AAA, MATCH($A112, Availability!$A:$A, 0), MATCH(player, Availability!$1:$1, 0))))), ""U"") + COUNTIFS(MAP(FILTER($H$1:$K$1, $H$1:$K$1 &lt;&gt; """"), LAMBDA(player, IFNA(INDEX(Availability!$A:$AAA, MATCH($A112, Availability!$A:$A, 0), "&amp;"MATCH(player, Availability!$1:$1, 0))))), ""R"")"),4.0)</f>
        <v>4</v>
      </c>
      <c r="C112" s="120">
        <f t="shared" si="1"/>
        <v>0</v>
      </c>
      <c r="D112" s="119" t="str">
        <f>IFERROR(__xludf.DUMMYFUNCTION("SPARKLINE(C112, {""charttype"", ""bar""; ""max"", 1; ""color1"", IF(C112 &lt; 0.5, ""red"", IF(C112 &lt; 0.75, ""orange"", ""green""))})"),"")</f>
        <v/>
      </c>
      <c r="E112" s="121" t="str">
        <f>IFERROR(__xludf.DUMMYFUNCTION("IFERROR(TEXTJOIN("", "", TRUE, FILTER(FILTER($H$1:$K$1, $H$1:$K$1 &lt;&gt; """"), (MAP(FILTER($H$1:$K$1, $H$1:$K$1 &lt;&gt; """"), LAMBDA(player, IFNA(INDEX(Availability!$A:$AAA, MATCH($A112, Availability!$A:$A, 0), MATCH(player, Availability!$1:$1, 0))))) = ""U"")))"&amp;")"),"Robbie Frost")</f>
        <v>Robbie Frost</v>
      </c>
      <c r="F112" s="121" t="str">
        <f>IFERROR(__xludf.DUMMYFUNCTION("IFERROR(TEXTJOIN("", "", TRUE, FILTER(FILTER($H$1:$K$1, $H$1:$K$1 &lt;&gt; """"), (MAP(FILTER($H$1:$K$1, $H$1:$K$1 &lt;&gt; """"), LAMBDA(player, IFNA(INDEX(Availability!$A:$AAA, MATCH($A112, Availability!$A:$A, 0), MATCH(player, Availability!$1:$1, 0))))) = ""X"")))"&amp;")"),"")</f>
        <v/>
      </c>
      <c r="G112" s="121" t="str">
        <f>IFERROR(__xludf.DUMMYFUNCTION("IFERROR(TEXTJOIN("", "", TRUE, FILTER(FILTER($H$1:$K$1, $H$1:$K$1 &lt;&gt; """"), (MAP(FILTER($H$1:$K$1, $H$1:$K$1 &lt;&gt; """"), LAMBDA(player, IFNA(INDEX(Availability!$A:$AAA, MATCH($A112, Availability!$A:$A, 0), MATCH(player, Availability!$1:$1, 0))))) = ""R"")))"&amp;")"),"Nejc Ceplak, Kate Frost, Grace Webster")</f>
        <v>Nejc Ceplak, Kate Frost, Grace Webster</v>
      </c>
    </row>
    <row r="113">
      <c r="A113" s="118">
        <f t="shared" si="2"/>
        <v>46053</v>
      </c>
      <c r="B113" s="119">
        <f>IFERROR(__xludf.DUMMYFUNCTION("COUNTIFS(MAP(FILTER($H$1:$K$1, $H$1:$K$1 &lt;&gt; """"), LAMBDA(player, IFNA(INDEX(Availability!$A:$AAA, MATCH($A113, Availability!$A:$A, 0), MATCH(player, Availability!$1:$1, 0))))), ""X"") + COUNTIFS(MAP(FILTER($H$1:$K$1, $H$1:$K$1 &lt;&gt; """"), LAMBDA(player, IF"&amp;"NA(INDEX(Availability!$A:$AAA, MATCH($A113, Availability!$A:$A, 0), MATCH(player, Availability!$1:$1, 0))))), ""U"") + COUNTIFS(MAP(FILTER($H$1:$K$1, $H$1:$K$1 &lt;&gt; """"), LAMBDA(player, IFNA(INDEX(Availability!$A:$AAA, MATCH($A113, Availability!$A:$A, 0), "&amp;"MATCH(player, Availability!$1:$1, 0))))), ""R"")"),4.0)</f>
        <v>4</v>
      </c>
      <c r="C113" s="120">
        <f t="shared" si="1"/>
        <v>0</v>
      </c>
      <c r="D113" s="119" t="str">
        <f>IFERROR(__xludf.DUMMYFUNCTION("SPARKLINE(C113, {""charttype"", ""bar""; ""max"", 1; ""color1"", IF(C113 &lt; 0.5, ""red"", IF(C113 &lt; 0.75, ""orange"", ""green""))})"),"")</f>
        <v/>
      </c>
      <c r="E113" s="121" t="str">
        <f>IFERROR(__xludf.DUMMYFUNCTION("IFERROR(TEXTJOIN("", "", TRUE, FILTER(FILTER($H$1:$K$1, $H$1:$K$1 &lt;&gt; """"), (MAP(FILTER($H$1:$K$1, $H$1:$K$1 &lt;&gt; """"), LAMBDA(player, IFNA(INDEX(Availability!$A:$AAA, MATCH($A113, Availability!$A:$A, 0), MATCH(player, Availability!$1:$1, 0))))) = ""U"")))"&amp;")"),"Robbie Frost")</f>
        <v>Robbie Frost</v>
      </c>
      <c r="F113" s="121" t="str">
        <f>IFERROR(__xludf.DUMMYFUNCTION("IFERROR(TEXTJOIN("", "", TRUE, FILTER(FILTER($H$1:$K$1, $H$1:$K$1 &lt;&gt; """"), (MAP(FILTER($H$1:$K$1, $H$1:$K$1 &lt;&gt; """"), LAMBDA(player, IFNA(INDEX(Availability!$A:$AAA, MATCH($A113, Availability!$A:$A, 0), MATCH(player, Availability!$1:$1, 0))))) = ""X"")))"&amp;")"),"")</f>
        <v/>
      </c>
      <c r="G113" s="121" t="str">
        <f>IFERROR(__xludf.DUMMYFUNCTION("IFERROR(TEXTJOIN("", "", TRUE, FILTER(FILTER($H$1:$K$1, $H$1:$K$1 &lt;&gt; """"), (MAP(FILTER($H$1:$K$1, $H$1:$K$1 &lt;&gt; """"), LAMBDA(player, IFNA(INDEX(Availability!$A:$AAA, MATCH($A113, Availability!$A:$A, 0), MATCH(player, Availability!$1:$1, 0))))) = ""R"")))"&amp;")"),"Nejc Ceplak, Kate Frost, Grace Webster")</f>
        <v>Nejc Ceplak, Kate Frost, Grace Webster</v>
      </c>
    </row>
    <row r="114">
      <c r="A114" s="118">
        <f t="shared" si="2"/>
        <v>46054</v>
      </c>
      <c r="B114" s="119">
        <f>IFERROR(__xludf.DUMMYFUNCTION("COUNTIFS(MAP(FILTER($H$1:$K$1, $H$1:$K$1 &lt;&gt; """"), LAMBDA(player, IFNA(INDEX(Availability!$A:$AAA, MATCH($A114, Availability!$A:$A, 0), MATCH(player, Availability!$1:$1, 0))))), ""X"") + COUNTIFS(MAP(FILTER($H$1:$K$1, $H$1:$K$1 &lt;&gt; """"), LAMBDA(player, IF"&amp;"NA(INDEX(Availability!$A:$AAA, MATCH($A114, Availability!$A:$A, 0), MATCH(player, Availability!$1:$1, 0))))), ""U"") + COUNTIFS(MAP(FILTER($H$1:$K$1, $H$1:$K$1 &lt;&gt; """"), LAMBDA(player, IFNA(INDEX(Availability!$A:$AAA, MATCH($A114, Availability!$A:$A, 0), "&amp;"MATCH(player, Availability!$1:$1, 0))))), ""R"")"),2.0)</f>
        <v>2</v>
      </c>
      <c r="C114" s="120">
        <f t="shared" si="1"/>
        <v>0.5</v>
      </c>
      <c r="D114" s="119" t="str">
        <f>IFERROR(__xludf.DUMMYFUNCTION("SPARKLINE(C114, {""charttype"", ""bar""; ""max"", 1; ""color1"", IF(C114 &lt; 0.5, ""red"", IF(C114 &lt; 0.75, ""orange"", ""green""))})"),"")</f>
        <v/>
      </c>
      <c r="E114" s="121" t="str">
        <f>IFERROR(__xludf.DUMMYFUNCTION("IFERROR(TEXTJOIN("", "", TRUE, FILTER(FILTER($H$1:$K$1, $H$1:$K$1 &lt;&gt; """"), (MAP(FILTER($H$1:$K$1, $H$1:$K$1 &lt;&gt; """"), LAMBDA(player, IFNA(INDEX(Availability!$A:$AAA, MATCH($A114, Availability!$A:$A, 0), MATCH(player, Availability!$1:$1, 0))))) = ""U"")))"&amp;")"),"Robbie Frost")</f>
        <v>Robbie Frost</v>
      </c>
      <c r="F114" s="121" t="str">
        <f>IFERROR(__xludf.DUMMYFUNCTION("IFERROR(TEXTJOIN("", "", TRUE, FILTER(FILTER($H$1:$K$1, $H$1:$K$1 &lt;&gt; """"), (MAP(FILTER($H$1:$K$1, $H$1:$K$1 &lt;&gt; """"), LAMBDA(player, IFNA(INDEX(Availability!$A:$AAA, MATCH($A114, Availability!$A:$A, 0), MATCH(player, Availability!$1:$1, 0))))) = ""X"")))"&amp;")"),"")</f>
        <v/>
      </c>
      <c r="G114" s="121" t="str">
        <f>IFERROR(__xludf.DUMMYFUNCTION("IFERROR(TEXTJOIN("", "", TRUE, FILTER(FILTER($H$1:$K$1, $H$1:$K$1 &lt;&gt; """"), (MAP(FILTER($H$1:$K$1, $H$1:$K$1 &lt;&gt; """"), LAMBDA(player, IFNA(INDEX(Availability!$A:$AAA, MATCH($A114, Availability!$A:$A, 0), MATCH(player, Availability!$1:$1, 0))))) = ""R"")))"&amp;")"),"Grace Webster")</f>
        <v>Grace Webster</v>
      </c>
    </row>
    <row r="115">
      <c r="A115" s="118">
        <f t="shared" si="2"/>
        <v>46055</v>
      </c>
      <c r="B115" s="119">
        <f>IFERROR(__xludf.DUMMYFUNCTION("COUNTIFS(MAP(FILTER($H$1:$K$1, $H$1:$K$1 &lt;&gt; """"), LAMBDA(player, IFNA(INDEX(Availability!$A:$AAA, MATCH($A115, Availability!$A:$A, 0), MATCH(player, Availability!$1:$1, 0))))), ""X"") + COUNTIFS(MAP(FILTER($H$1:$K$1, $H$1:$K$1 &lt;&gt; """"), LAMBDA(player, IF"&amp;"NA(INDEX(Availability!$A:$AAA, MATCH($A115, Availability!$A:$A, 0), MATCH(player, Availability!$1:$1, 0))))), ""U"") + COUNTIFS(MAP(FILTER($H$1:$K$1, $H$1:$K$1 &lt;&gt; """"), LAMBDA(player, IFNA(INDEX(Availability!$A:$AAA, MATCH($A115, Availability!$A:$A, 0), "&amp;"MATCH(player, Availability!$1:$1, 0))))), ""R"")"),1.0)</f>
        <v>1</v>
      </c>
      <c r="C115" s="120">
        <f t="shared" si="1"/>
        <v>0.75</v>
      </c>
      <c r="D115" s="119" t="str">
        <f>IFERROR(__xludf.DUMMYFUNCTION("SPARKLINE(C115, {""charttype"", ""bar""; ""max"", 1; ""color1"", IF(C115 &lt; 0.5, ""red"", IF(C115 &lt; 0.75, ""orange"", ""green""))})"),"")</f>
        <v/>
      </c>
      <c r="E115" s="121" t="str">
        <f>IFERROR(__xludf.DUMMYFUNCTION("IFERROR(TEXTJOIN("", "", TRUE, FILTER(FILTER($H$1:$K$1, $H$1:$K$1 &lt;&gt; """"), (MAP(FILTER($H$1:$K$1, $H$1:$K$1 &lt;&gt; """"), LAMBDA(player, IFNA(INDEX(Availability!$A:$AAA, MATCH($A115, Availability!$A:$A, 0), MATCH(player, Availability!$1:$1, 0))))) = ""U"")))"&amp;")"),"")</f>
        <v/>
      </c>
      <c r="F115" s="121" t="str">
        <f>IFERROR(__xludf.DUMMYFUNCTION("IFERROR(TEXTJOIN("", "", TRUE, FILTER(FILTER($H$1:$K$1, $H$1:$K$1 &lt;&gt; """"), (MAP(FILTER($H$1:$K$1, $H$1:$K$1 &lt;&gt; """"), LAMBDA(player, IFNA(INDEX(Availability!$A:$AAA, MATCH($A115, Availability!$A:$A, 0), MATCH(player, Availability!$1:$1, 0))))) = ""X"")))"&amp;")"),"Grace Webster")</f>
        <v>Grace Webster</v>
      </c>
      <c r="G115" s="121" t="str">
        <f>IFERROR(__xludf.DUMMYFUNCTION("IFERROR(TEXTJOIN("", "", TRUE, FILTER(FILTER($H$1:$K$1, $H$1:$K$1 &lt;&gt; """"), (MAP(FILTER($H$1:$K$1, $H$1:$K$1 &lt;&gt; """"), LAMBDA(player, IFNA(INDEX(Availability!$A:$AAA, MATCH($A115, Availability!$A:$A, 0), MATCH(player, Availability!$1:$1, 0))))) = ""R"")))"&amp;")"),"")</f>
        <v/>
      </c>
    </row>
    <row r="116">
      <c r="A116" s="118">
        <f t="shared" si="2"/>
        <v>46056</v>
      </c>
      <c r="B116" s="119">
        <f>IFERROR(__xludf.DUMMYFUNCTION("COUNTIFS(MAP(FILTER($H$1:$K$1, $H$1:$K$1 &lt;&gt; """"), LAMBDA(player, IFNA(INDEX(Availability!$A:$AAA, MATCH($A116, Availability!$A:$A, 0), MATCH(player, Availability!$1:$1, 0))))), ""X"") + COUNTIFS(MAP(FILTER($H$1:$K$1, $H$1:$K$1 &lt;&gt; """"), LAMBDA(player, IF"&amp;"NA(INDEX(Availability!$A:$AAA, MATCH($A116, Availability!$A:$A, 0), MATCH(player, Availability!$1:$1, 0))))), ""U"") + COUNTIFS(MAP(FILTER($H$1:$K$1, $H$1:$K$1 &lt;&gt; """"), LAMBDA(player, IFNA(INDEX(Availability!$A:$AAA, MATCH($A116, Availability!$A:$A, 0), "&amp;"MATCH(player, Availability!$1:$1, 0))))), ""R"")"),1.0)</f>
        <v>1</v>
      </c>
      <c r="C116" s="120">
        <f t="shared" si="1"/>
        <v>0.75</v>
      </c>
      <c r="D116" s="119" t="str">
        <f>IFERROR(__xludf.DUMMYFUNCTION("SPARKLINE(C116, {""charttype"", ""bar""; ""max"", 1; ""color1"", IF(C116 &lt; 0.5, ""red"", IF(C116 &lt; 0.75, ""orange"", ""green""))})"),"")</f>
        <v/>
      </c>
      <c r="E116" s="121" t="str">
        <f>IFERROR(__xludf.DUMMYFUNCTION("IFERROR(TEXTJOIN("", "", TRUE, FILTER(FILTER($H$1:$K$1, $H$1:$K$1 &lt;&gt; """"), (MAP(FILTER($H$1:$K$1, $H$1:$K$1 &lt;&gt; """"), LAMBDA(player, IFNA(INDEX(Availability!$A:$AAA, MATCH($A116, Availability!$A:$A, 0), MATCH(player, Availability!$1:$1, 0))))) = ""U"")))"&amp;")"),"")</f>
        <v/>
      </c>
      <c r="F116" s="121" t="str">
        <f>IFERROR(__xludf.DUMMYFUNCTION("IFERROR(TEXTJOIN("", "", TRUE, FILTER(FILTER($H$1:$K$1, $H$1:$K$1 &lt;&gt; """"), (MAP(FILTER($H$1:$K$1, $H$1:$K$1 &lt;&gt; """"), LAMBDA(player, IFNA(INDEX(Availability!$A:$AAA, MATCH($A116, Availability!$A:$A, 0), MATCH(player, Availability!$1:$1, 0))))) = ""X"")))"&amp;")"),"")</f>
        <v/>
      </c>
      <c r="G116" s="121" t="str">
        <f>IFERROR(__xludf.DUMMYFUNCTION("IFERROR(TEXTJOIN("", "", TRUE, FILTER(FILTER($H$1:$K$1, $H$1:$K$1 &lt;&gt; """"), (MAP(FILTER($H$1:$K$1, $H$1:$K$1 &lt;&gt; """"), LAMBDA(player, IFNA(INDEX(Availability!$A:$AAA, MATCH($A116, Availability!$A:$A, 0), MATCH(player, Availability!$1:$1, 0))))) = ""R"")))"&amp;")"),"Grace Webster")</f>
        <v>Grace Webster</v>
      </c>
    </row>
    <row r="117">
      <c r="A117" s="118">
        <f t="shared" si="2"/>
        <v>46057</v>
      </c>
      <c r="B117" s="119">
        <f>IFERROR(__xludf.DUMMYFUNCTION("COUNTIFS(MAP(FILTER($H$1:$K$1, $H$1:$K$1 &lt;&gt; """"), LAMBDA(player, IFNA(INDEX(Availability!$A:$AAA, MATCH($A117, Availability!$A:$A, 0), MATCH(player, Availability!$1:$1, 0))))), ""X"") + COUNTIFS(MAP(FILTER($H$1:$K$1, $H$1:$K$1 &lt;&gt; """"), LAMBDA(player, IF"&amp;"NA(INDEX(Availability!$A:$AAA, MATCH($A117, Availability!$A:$A, 0), MATCH(player, Availability!$1:$1, 0))))), ""U"") + COUNTIFS(MAP(FILTER($H$1:$K$1, $H$1:$K$1 &lt;&gt; """"), LAMBDA(player, IFNA(INDEX(Availability!$A:$AAA, MATCH($A117, Availability!$A:$A, 0), "&amp;"MATCH(player, Availability!$1:$1, 0))))), ""R"")"),1.0)</f>
        <v>1</v>
      </c>
      <c r="C117" s="120">
        <f t="shared" si="1"/>
        <v>0.75</v>
      </c>
      <c r="D117" s="119" t="str">
        <f>IFERROR(__xludf.DUMMYFUNCTION("SPARKLINE(C117, {""charttype"", ""bar""; ""max"", 1; ""color1"", IF(C117 &lt; 0.5, ""red"", IF(C117 &lt; 0.75, ""orange"", ""green""))})"),"")</f>
        <v/>
      </c>
      <c r="E117" s="121" t="str">
        <f>IFERROR(__xludf.DUMMYFUNCTION("IFERROR(TEXTJOIN("", "", TRUE, FILTER(FILTER($H$1:$K$1, $H$1:$K$1 &lt;&gt; """"), (MAP(FILTER($H$1:$K$1, $H$1:$K$1 &lt;&gt; """"), LAMBDA(player, IFNA(INDEX(Availability!$A:$AAA, MATCH($A117, Availability!$A:$A, 0), MATCH(player, Availability!$1:$1, 0))))) = ""U"")))"&amp;")"),"")</f>
        <v/>
      </c>
      <c r="F117" s="121" t="str">
        <f>IFERROR(__xludf.DUMMYFUNCTION("IFERROR(TEXTJOIN("", "", TRUE, FILTER(FILTER($H$1:$K$1, $H$1:$K$1 &lt;&gt; """"), (MAP(FILTER($H$1:$K$1, $H$1:$K$1 &lt;&gt; """"), LAMBDA(player, IFNA(INDEX(Availability!$A:$AAA, MATCH($A117, Availability!$A:$A, 0), MATCH(player, Availability!$1:$1, 0))))) = ""X"")))"&amp;")"),"")</f>
        <v/>
      </c>
      <c r="G117" s="121" t="str">
        <f>IFERROR(__xludf.DUMMYFUNCTION("IFERROR(TEXTJOIN("", "", TRUE, FILTER(FILTER($H$1:$K$1, $H$1:$K$1 &lt;&gt; """"), (MAP(FILTER($H$1:$K$1, $H$1:$K$1 &lt;&gt; """"), LAMBDA(player, IFNA(INDEX(Availability!$A:$AAA, MATCH($A117, Availability!$A:$A, 0), MATCH(player, Availability!$1:$1, 0))))) = ""R"")))"&amp;")"),"Grace Webster")</f>
        <v>Grace Webster</v>
      </c>
    </row>
    <row r="118">
      <c r="A118" s="118">
        <f t="shared" si="2"/>
        <v>46058</v>
      </c>
      <c r="B118" s="119">
        <f>IFERROR(__xludf.DUMMYFUNCTION("COUNTIFS(MAP(FILTER($H$1:$K$1, $H$1:$K$1 &lt;&gt; """"), LAMBDA(player, IFNA(INDEX(Availability!$A:$AAA, MATCH($A118, Availability!$A:$A, 0), MATCH(player, Availability!$1:$1, 0))))), ""X"") + COUNTIFS(MAP(FILTER($H$1:$K$1, $H$1:$K$1 &lt;&gt; """"), LAMBDA(player, IF"&amp;"NA(INDEX(Availability!$A:$AAA, MATCH($A118, Availability!$A:$A, 0), MATCH(player, Availability!$1:$1, 0))))), ""U"") + COUNTIFS(MAP(FILTER($H$1:$K$1, $H$1:$K$1 &lt;&gt; """"), LAMBDA(player, IFNA(INDEX(Availability!$A:$AAA, MATCH($A118, Availability!$A:$A, 0), "&amp;"MATCH(player, Availability!$1:$1, 0))))), ""R"")"),0.0)</f>
        <v>0</v>
      </c>
      <c r="C118" s="120">
        <f t="shared" si="1"/>
        <v>1</v>
      </c>
      <c r="D118" s="119" t="str">
        <f>IFERROR(__xludf.DUMMYFUNCTION("SPARKLINE(C118, {""charttype"", ""bar""; ""max"", 1; ""color1"", IF(C118 &lt; 0.5, ""red"", IF(C118 &lt; 0.75, ""orange"", ""green""))})"),"")</f>
        <v/>
      </c>
      <c r="E118" s="121" t="str">
        <f>IFERROR(__xludf.DUMMYFUNCTION("IFERROR(TEXTJOIN("", "", TRUE, FILTER(FILTER($H$1:$K$1, $H$1:$K$1 &lt;&gt; """"), (MAP(FILTER($H$1:$K$1, $H$1:$K$1 &lt;&gt; """"), LAMBDA(player, IFNA(INDEX(Availability!$A:$AAA, MATCH($A118, Availability!$A:$A, 0), MATCH(player, Availability!$1:$1, 0))))) = ""U"")))"&amp;")"),"")</f>
        <v/>
      </c>
      <c r="F118" s="121" t="str">
        <f>IFERROR(__xludf.DUMMYFUNCTION("IFERROR(TEXTJOIN("", "", TRUE, FILTER(FILTER($H$1:$K$1, $H$1:$K$1 &lt;&gt; """"), (MAP(FILTER($H$1:$K$1, $H$1:$K$1 &lt;&gt; """"), LAMBDA(player, IFNA(INDEX(Availability!$A:$AAA, MATCH($A118, Availability!$A:$A, 0), MATCH(player, Availability!$1:$1, 0))))) = ""X"")))"&amp;")"),"")</f>
        <v/>
      </c>
      <c r="G118" s="121" t="str">
        <f>IFERROR(__xludf.DUMMYFUNCTION("IFERROR(TEXTJOIN("", "", TRUE, FILTER(FILTER($H$1:$K$1, $H$1:$K$1 &lt;&gt; """"), (MAP(FILTER($H$1:$K$1, $H$1:$K$1 &lt;&gt; """"), LAMBDA(player, IFNA(INDEX(Availability!$A:$AAA, MATCH($A118, Availability!$A:$A, 0), MATCH(player, Availability!$1:$1, 0))))) = ""R"")))"&amp;")"),"")</f>
        <v/>
      </c>
    </row>
    <row r="119">
      <c r="A119" s="118">
        <f t="shared" si="2"/>
        <v>46059</v>
      </c>
      <c r="B119" s="119">
        <f>IFERROR(__xludf.DUMMYFUNCTION("COUNTIFS(MAP(FILTER($H$1:$K$1, $H$1:$K$1 &lt;&gt; """"), LAMBDA(player, IFNA(INDEX(Availability!$A:$AAA, MATCH($A119, Availability!$A:$A, 0), MATCH(player, Availability!$1:$1, 0))))), ""X"") + COUNTIFS(MAP(FILTER($H$1:$K$1, $H$1:$K$1 &lt;&gt; """"), LAMBDA(player, IF"&amp;"NA(INDEX(Availability!$A:$AAA, MATCH($A119, Availability!$A:$A, 0), MATCH(player, Availability!$1:$1, 0))))), ""U"") + COUNTIFS(MAP(FILTER($H$1:$K$1, $H$1:$K$1 &lt;&gt; """"), LAMBDA(player, IFNA(INDEX(Availability!$A:$AAA, MATCH($A119, Availability!$A:$A, 0), "&amp;"MATCH(player, Availability!$1:$1, 0))))), ""R"")"),0.0)</f>
        <v>0</v>
      </c>
      <c r="C119" s="120">
        <f t="shared" si="1"/>
        <v>1</v>
      </c>
      <c r="D119" s="119" t="str">
        <f>IFERROR(__xludf.DUMMYFUNCTION("SPARKLINE(C119, {""charttype"", ""bar""; ""max"", 1; ""color1"", IF(C119 &lt; 0.5, ""red"", IF(C119 &lt; 0.75, ""orange"", ""green""))})"),"")</f>
        <v/>
      </c>
      <c r="E119" s="121" t="str">
        <f>IFERROR(__xludf.DUMMYFUNCTION("IFERROR(TEXTJOIN("", "", TRUE, FILTER(FILTER($H$1:$K$1, $H$1:$K$1 &lt;&gt; """"), (MAP(FILTER($H$1:$K$1, $H$1:$K$1 &lt;&gt; """"), LAMBDA(player, IFNA(INDEX(Availability!$A:$AAA, MATCH($A119, Availability!$A:$A, 0), MATCH(player, Availability!$1:$1, 0))))) = ""U"")))"&amp;")"),"")</f>
        <v/>
      </c>
      <c r="F119" s="121" t="str">
        <f>IFERROR(__xludf.DUMMYFUNCTION("IFERROR(TEXTJOIN("", "", TRUE, FILTER(FILTER($H$1:$K$1, $H$1:$K$1 &lt;&gt; """"), (MAP(FILTER($H$1:$K$1, $H$1:$K$1 &lt;&gt; """"), LAMBDA(player, IFNA(INDEX(Availability!$A:$AAA, MATCH($A119, Availability!$A:$A, 0), MATCH(player, Availability!$1:$1, 0))))) = ""X"")))"&amp;")"),"")</f>
        <v/>
      </c>
      <c r="G119" s="121" t="str">
        <f>IFERROR(__xludf.DUMMYFUNCTION("IFERROR(TEXTJOIN("", "", TRUE, FILTER(FILTER($H$1:$K$1, $H$1:$K$1 &lt;&gt; """"), (MAP(FILTER($H$1:$K$1, $H$1:$K$1 &lt;&gt; """"), LAMBDA(player, IFNA(INDEX(Availability!$A:$AAA, MATCH($A119, Availability!$A:$A, 0), MATCH(player, Availability!$1:$1, 0))))) = ""R"")))"&amp;")"),"")</f>
        <v/>
      </c>
    </row>
    <row r="120">
      <c r="A120" s="118">
        <f t="shared" si="2"/>
        <v>46060</v>
      </c>
      <c r="B120" s="119">
        <f>IFERROR(__xludf.DUMMYFUNCTION("COUNTIFS(MAP(FILTER($H$1:$K$1, $H$1:$K$1 &lt;&gt; """"), LAMBDA(player, IFNA(INDEX(Availability!$A:$AAA, MATCH($A120, Availability!$A:$A, 0), MATCH(player, Availability!$1:$1, 0))))), ""X"") + COUNTIFS(MAP(FILTER($H$1:$K$1, $H$1:$K$1 &lt;&gt; """"), LAMBDA(player, IF"&amp;"NA(INDEX(Availability!$A:$AAA, MATCH($A120, Availability!$A:$A, 0), MATCH(player, Availability!$1:$1, 0))))), ""U"") + COUNTIFS(MAP(FILTER($H$1:$K$1, $H$1:$K$1 &lt;&gt; """"), LAMBDA(player, IFNA(INDEX(Availability!$A:$AAA, MATCH($A120, Availability!$A:$A, 0), "&amp;"MATCH(player, Availability!$1:$1, 0))))), ""R"")"),4.0)</f>
        <v>4</v>
      </c>
      <c r="C120" s="120">
        <f t="shared" si="1"/>
        <v>0</v>
      </c>
      <c r="D120" s="119" t="str">
        <f>IFERROR(__xludf.DUMMYFUNCTION("SPARKLINE(C120, {""charttype"", ""bar""; ""max"", 1; ""color1"", IF(C120 &lt; 0.5, ""red"", IF(C120 &lt; 0.75, ""orange"", ""green""))})"),"")</f>
        <v/>
      </c>
      <c r="E120" s="121" t="str">
        <f>IFERROR(__xludf.DUMMYFUNCTION("IFERROR(TEXTJOIN("", "", TRUE, FILTER(FILTER($H$1:$K$1, $H$1:$K$1 &lt;&gt; """"), (MAP(FILTER($H$1:$K$1, $H$1:$K$1 &lt;&gt; """"), LAMBDA(player, IFNA(INDEX(Availability!$A:$AAA, MATCH($A120, Availability!$A:$A, 0), MATCH(player, Availability!$1:$1, 0))))) = ""U"")))"&amp;")"),"")</f>
        <v/>
      </c>
      <c r="F120" s="121" t="str">
        <f>IFERROR(__xludf.DUMMYFUNCTION("IFERROR(TEXTJOIN("", "", TRUE, FILTER(FILTER($H$1:$K$1, $H$1:$K$1 &lt;&gt; """"), (MAP(FILTER($H$1:$K$1, $H$1:$K$1 &lt;&gt; """"), LAMBDA(player, IFNA(INDEX(Availability!$A:$AAA, MATCH($A120, Availability!$A:$A, 0), MATCH(player, Availability!$1:$1, 0))))) = ""X"")))"&amp;")"),"")</f>
        <v/>
      </c>
      <c r="G120" s="121" t="str">
        <f>IFERROR(__xludf.DUMMYFUNCTION("IFERROR(TEXTJOIN("", "", TRUE, FILTER(FILTER($H$1:$K$1, $H$1:$K$1 &lt;&gt; """"), (MAP(FILTER($H$1:$K$1, $H$1:$K$1 &lt;&gt; """"), LAMBDA(player, IFNA(INDEX(Availability!$A:$AAA, MATCH($A120, Availability!$A:$A, 0), MATCH(player, Availability!$1:$1, 0))))) = ""R"")))"&amp;")"),"Nejc Ceplak, Robbie Frost, Kate Frost, Grace Webster")</f>
        <v>Nejc Ceplak, Robbie Frost, Kate Frost, Grace Webster</v>
      </c>
    </row>
    <row r="121">
      <c r="A121" s="118">
        <f t="shared" si="2"/>
        <v>46061</v>
      </c>
      <c r="B121" s="119">
        <f>IFERROR(__xludf.DUMMYFUNCTION("COUNTIFS(MAP(FILTER($H$1:$K$1, $H$1:$K$1 &lt;&gt; """"), LAMBDA(player, IFNA(INDEX(Availability!$A:$AAA, MATCH($A121, Availability!$A:$A, 0), MATCH(player, Availability!$1:$1, 0))))), ""X"") + COUNTIFS(MAP(FILTER($H$1:$K$1, $H$1:$K$1 &lt;&gt; """"), LAMBDA(player, IF"&amp;"NA(INDEX(Availability!$A:$AAA, MATCH($A121, Availability!$A:$A, 0), MATCH(player, Availability!$1:$1, 0))))), ""U"") + COUNTIFS(MAP(FILTER($H$1:$K$1, $H$1:$K$1 &lt;&gt; """"), LAMBDA(player, IFNA(INDEX(Availability!$A:$AAA, MATCH($A121, Availability!$A:$A, 0), "&amp;"MATCH(player, Availability!$1:$1, 0))))), ""R"")"),4.0)</f>
        <v>4</v>
      </c>
      <c r="C121" s="120">
        <f t="shared" si="1"/>
        <v>0</v>
      </c>
      <c r="D121" s="119" t="str">
        <f>IFERROR(__xludf.DUMMYFUNCTION("SPARKLINE(C121, {""charttype"", ""bar""; ""max"", 1; ""color1"", IF(C121 &lt; 0.5, ""red"", IF(C121 &lt; 0.75, ""orange"", ""green""))})"),"")</f>
        <v/>
      </c>
      <c r="E121" s="121" t="str">
        <f>IFERROR(__xludf.DUMMYFUNCTION("IFERROR(TEXTJOIN("", "", TRUE, FILTER(FILTER($H$1:$K$1, $H$1:$K$1 &lt;&gt; """"), (MAP(FILTER($H$1:$K$1, $H$1:$K$1 &lt;&gt; """"), LAMBDA(player, IFNA(INDEX(Availability!$A:$AAA, MATCH($A121, Availability!$A:$A, 0), MATCH(player, Availability!$1:$1, 0))))) = ""U"")))"&amp;")"),"")</f>
        <v/>
      </c>
      <c r="F121" s="121" t="str">
        <f>IFERROR(__xludf.DUMMYFUNCTION("IFERROR(TEXTJOIN("", "", TRUE, FILTER(FILTER($H$1:$K$1, $H$1:$K$1 &lt;&gt; """"), (MAP(FILTER($H$1:$K$1, $H$1:$K$1 &lt;&gt; """"), LAMBDA(player, IFNA(INDEX(Availability!$A:$AAA, MATCH($A121, Availability!$A:$A, 0), MATCH(player, Availability!$1:$1, 0))))) = ""X"")))"&amp;")"),"")</f>
        <v/>
      </c>
      <c r="G121" s="121" t="str">
        <f>IFERROR(__xludf.DUMMYFUNCTION("IFERROR(TEXTJOIN("", "", TRUE, FILTER(FILTER($H$1:$K$1, $H$1:$K$1 &lt;&gt; """"), (MAP(FILTER($H$1:$K$1, $H$1:$K$1 &lt;&gt; """"), LAMBDA(player, IFNA(INDEX(Availability!$A:$AAA, MATCH($A121, Availability!$A:$A, 0), MATCH(player, Availability!$1:$1, 0))))) = ""R"")))"&amp;")"),"Nejc Ceplak, Robbie Frost, Kate Frost, Grace Webster")</f>
        <v>Nejc Ceplak, Robbie Frost, Kate Frost, Grace Webster</v>
      </c>
    </row>
    <row r="122">
      <c r="A122" s="118">
        <f t="shared" si="2"/>
        <v>46062</v>
      </c>
      <c r="B122" s="119">
        <f>IFERROR(__xludf.DUMMYFUNCTION("COUNTIFS(MAP(FILTER($H$1:$K$1, $H$1:$K$1 &lt;&gt; """"), LAMBDA(player, IFNA(INDEX(Availability!$A:$AAA, MATCH($A122, Availability!$A:$A, 0), MATCH(player, Availability!$1:$1, 0))))), ""X"") + COUNTIFS(MAP(FILTER($H$1:$K$1, $H$1:$K$1 &lt;&gt; """"), LAMBDA(player, IF"&amp;"NA(INDEX(Availability!$A:$AAA, MATCH($A122, Availability!$A:$A, 0), MATCH(player, Availability!$1:$1, 0))))), ""U"") + COUNTIFS(MAP(FILTER($H$1:$K$1, $H$1:$K$1 &lt;&gt; """"), LAMBDA(player, IFNA(INDEX(Availability!$A:$AAA, MATCH($A122, Availability!$A:$A, 0), "&amp;"MATCH(player, Availability!$1:$1, 0))))), ""R"")"),4.0)</f>
        <v>4</v>
      </c>
      <c r="C122" s="120">
        <f t="shared" si="1"/>
        <v>0</v>
      </c>
      <c r="D122" s="119" t="str">
        <f>IFERROR(__xludf.DUMMYFUNCTION("SPARKLINE(C122, {""charttype"", ""bar""; ""max"", 1; ""color1"", IF(C122 &lt; 0.5, ""red"", IF(C122 &lt; 0.75, ""orange"", ""green""))})"),"")</f>
        <v/>
      </c>
      <c r="E122" s="121" t="str">
        <f>IFERROR(__xludf.DUMMYFUNCTION("IFERROR(TEXTJOIN("", "", TRUE, FILTER(FILTER($H$1:$K$1, $H$1:$K$1 &lt;&gt; """"), (MAP(FILTER($H$1:$K$1, $H$1:$K$1 &lt;&gt; """"), LAMBDA(player, IFNA(INDEX(Availability!$A:$AAA, MATCH($A122, Availability!$A:$A, 0), MATCH(player, Availability!$1:$1, 0))))) = ""U"")))"&amp;")"),"")</f>
        <v/>
      </c>
      <c r="F122" s="121" t="str">
        <f>IFERROR(__xludf.DUMMYFUNCTION("IFERROR(TEXTJOIN("", "", TRUE, FILTER(FILTER($H$1:$K$1, $H$1:$K$1 &lt;&gt; """"), (MAP(FILTER($H$1:$K$1, $H$1:$K$1 &lt;&gt; """"), LAMBDA(player, IFNA(INDEX(Availability!$A:$AAA, MATCH($A122, Availability!$A:$A, 0), MATCH(player, Availability!$1:$1, 0))))) = ""X"")))"&amp;")"),"Nejc Ceplak, Robbie Frost, Kate Frost, Grace Webster")</f>
        <v>Nejc Ceplak, Robbie Frost, Kate Frost, Grace Webster</v>
      </c>
      <c r="G122" s="121" t="str">
        <f>IFERROR(__xludf.DUMMYFUNCTION("IFERROR(TEXTJOIN("", "", TRUE, FILTER(FILTER($H$1:$K$1, $H$1:$K$1 &lt;&gt; """"), (MAP(FILTER($H$1:$K$1, $H$1:$K$1 &lt;&gt; """"), LAMBDA(player, IFNA(INDEX(Availability!$A:$AAA, MATCH($A122, Availability!$A:$A, 0), MATCH(player, Availability!$1:$1, 0))))) = ""R"")))"&amp;")"),"")</f>
        <v/>
      </c>
    </row>
    <row r="123">
      <c r="A123" s="118">
        <f t="shared" si="2"/>
        <v>46063</v>
      </c>
      <c r="B123" s="119">
        <f>IFERROR(__xludf.DUMMYFUNCTION("COUNTIFS(MAP(FILTER($H$1:$K$1, $H$1:$K$1 &lt;&gt; """"), LAMBDA(player, IFNA(INDEX(Availability!$A:$AAA, MATCH($A123, Availability!$A:$A, 0), MATCH(player, Availability!$1:$1, 0))))), ""X"") + COUNTIFS(MAP(FILTER($H$1:$K$1, $H$1:$K$1 &lt;&gt; """"), LAMBDA(player, IF"&amp;"NA(INDEX(Availability!$A:$AAA, MATCH($A123, Availability!$A:$A, 0), MATCH(player, Availability!$1:$1, 0))))), ""U"") + COUNTIFS(MAP(FILTER($H$1:$K$1, $H$1:$K$1 &lt;&gt; """"), LAMBDA(player, IFNA(INDEX(Availability!$A:$AAA, MATCH($A123, Availability!$A:$A, 0), "&amp;"MATCH(player, Availability!$1:$1, 0))))), ""R"")"),4.0)</f>
        <v>4</v>
      </c>
      <c r="C123" s="120">
        <f t="shared" si="1"/>
        <v>0</v>
      </c>
      <c r="D123" s="119" t="str">
        <f>IFERROR(__xludf.DUMMYFUNCTION("SPARKLINE(C123, {""charttype"", ""bar""; ""max"", 1; ""color1"", IF(C123 &lt; 0.5, ""red"", IF(C123 &lt; 0.75, ""orange"", ""green""))})"),"")</f>
        <v/>
      </c>
      <c r="E123" s="121" t="str">
        <f>IFERROR(__xludf.DUMMYFUNCTION("IFERROR(TEXTJOIN("", "", TRUE, FILTER(FILTER($H$1:$K$1, $H$1:$K$1 &lt;&gt; """"), (MAP(FILTER($H$1:$K$1, $H$1:$K$1 &lt;&gt; """"), LAMBDA(player, IFNA(INDEX(Availability!$A:$AAA, MATCH($A123, Availability!$A:$A, 0), MATCH(player, Availability!$1:$1, 0))))) = ""U"")))"&amp;")"),"")</f>
        <v/>
      </c>
      <c r="F123" s="121" t="str">
        <f>IFERROR(__xludf.DUMMYFUNCTION("IFERROR(TEXTJOIN("", "", TRUE, FILTER(FILTER($H$1:$K$1, $H$1:$K$1 &lt;&gt; """"), (MAP(FILTER($H$1:$K$1, $H$1:$K$1 &lt;&gt; """"), LAMBDA(player, IFNA(INDEX(Availability!$A:$AAA, MATCH($A123, Availability!$A:$A, 0), MATCH(player, Availability!$1:$1, 0))))) = ""X"")))"&amp;")"),"")</f>
        <v/>
      </c>
      <c r="G123" s="121" t="str">
        <f>IFERROR(__xludf.DUMMYFUNCTION("IFERROR(TEXTJOIN("", "", TRUE, FILTER(FILTER($H$1:$K$1, $H$1:$K$1 &lt;&gt; """"), (MAP(FILTER($H$1:$K$1, $H$1:$K$1 &lt;&gt; """"), LAMBDA(player, IFNA(INDEX(Availability!$A:$AAA, MATCH($A123, Availability!$A:$A, 0), MATCH(player, Availability!$1:$1, 0))))) = ""R"")))"&amp;")"),"Nejc Ceplak, Robbie Frost, Kate Frost, Grace Webster")</f>
        <v>Nejc Ceplak, Robbie Frost, Kate Frost, Grace Webster</v>
      </c>
    </row>
    <row r="124">
      <c r="A124" s="118">
        <f t="shared" si="2"/>
        <v>46064</v>
      </c>
      <c r="B124" s="119">
        <f>IFERROR(__xludf.DUMMYFUNCTION("COUNTIFS(MAP(FILTER($H$1:$K$1, $H$1:$K$1 &lt;&gt; """"), LAMBDA(player, IFNA(INDEX(Availability!$A:$AAA, MATCH($A124, Availability!$A:$A, 0), MATCH(player, Availability!$1:$1, 0))))), ""X"") + COUNTIFS(MAP(FILTER($H$1:$K$1, $H$1:$K$1 &lt;&gt; """"), LAMBDA(player, IF"&amp;"NA(INDEX(Availability!$A:$AAA, MATCH($A124, Availability!$A:$A, 0), MATCH(player, Availability!$1:$1, 0))))), ""U"") + COUNTIFS(MAP(FILTER($H$1:$K$1, $H$1:$K$1 &lt;&gt; """"), LAMBDA(player, IFNA(INDEX(Availability!$A:$AAA, MATCH($A124, Availability!$A:$A, 0), "&amp;"MATCH(player, Availability!$1:$1, 0))))), ""R"")"),4.0)</f>
        <v>4</v>
      </c>
      <c r="C124" s="120">
        <f t="shared" si="1"/>
        <v>0</v>
      </c>
      <c r="D124" s="119" t="str">
        <f>IFERROR(__xludf.DUMMYFUNCTION("SPARKLINE(C124, {""charttype"", ""bar""; ""max"", 1; ""color1"", IF(C124 &lt; 0.5, ""red"", IF(C124 &lt; 0.75, ""orange"", ""green""))})"),"")</f>
        <v/>
      </c>
      <c r="E124" s="121" t="str">
        <f>IFERROR(__xludf.DUMMYFUNCTION("IFERROR(TEXTJOIN("", "", TRUE, FILTER(FILTER($H$1:$K$1, $H$1:$K$1 &lt;&gt; """"), (MAP(FILTER($H$1:$K$1, $H$1:$K$1 &lt;&gt; """"), LAMBDA(player, IFNA(INDEX(Availability!$A:$AAA, MATCH($A124, Availability!$A:$A, 0), MATCH(player, Availability!$1:$1, 0))))) = ""U"")))"&amp;")"),"")</f>
        <v/>
      </c>
      <c r="F124" s="121" t="str">
        <f>IFERROR(__xludf.DUMMYFUNCTION("IFERROR(TEXTJOIN("", "", TRUE, FILTER(FILTER($H$1:$K$1, $H$1:$K$1 &lt;&gt; """"), (MAP(FILTER($H$1:$K$1, $H$1:$K$1 &lt;&gt; """"), LAMBDA(player, IFNA(INDEX(Availability!$A:$AAA, MATCH($A124, Availability!$A:$A, 0), MATCH(player, Availability!$1:$1, 0))))) = ""X"")))"&amp;")"),"")</f>
        <v/>
      </c>
      <c r="G124" s="121" t="str">
        <f>IFERROR(__xludf.DUMMYFUNCTION("IFERROR(TEXTJOIN("", "", TRUE, FILTER(FILTER($H$1:$K$1, $H$1:$K$1 &lt;&gt; """"), (MAP(FILTER($H$1:$K$1, $H$1:$K$1 &lt;&gt; """"), LAMBDA(player, IFNA(INDEX(Availability!$A:$AAA, MATCH($A124, Availability!$A:$A, 0), MATCH(player, Availability!$1:$1, 0))))) = ""R"")))"&amp;")"),"Nejc Ceplak, Robbie Frost, Kate Frost, Grace Webster")</f>
        <v>Nejc Ceplak, Robbie Frost, Kate Frost, Grace Webster</v>
      </c>
    </row>
    <row r="125">
      <c r="A125" s="118">
        <f t="shared" si="2"/>
        <v>46065</v>
      </c>
      <c r="B125" s="119">
        <f>IFERROR(__xludf.DUMMYFUNCTION("COUNTIFS(MAP(FILTER($H$1:$K$1, $H$1:$K$1 &lt;&gt; """"), LAMBDA(player, IFNA(INDEX(Availability!$A:$AAA, MATCH($A125, Availability!$A:$A, 0), MATCH(player, Availability!$1:$1, 0))))), ""X"") + COUNTIFS(MAP(FILTER($H$1:$K$1, $H$1:$K$1 &lt;&gt; """"), LAMBDA(player, IF"&amp;"NA(INDEX(Availability!$A:$AAA, MATCH($A125, Availability!$A:$A, 0), MATCH(player, Availability!$1:$1, 0))))), ""U"") + COUNTIFS(MAP(FILTER($H$1:$K$1, $H$1:$K$1 &lt;&gt; """"), LAMBDA(player, IFNA(INDEX(Availability!$A:$AAA, MATCH($A125, Availability!$A:$A, 0), "&amp;"MATCH(player, Availability!$1:$1, 0))))), ""R"")"),1.0)</f>
        <v>1</v>
      </c>
      <c r="C125" s="120">
        <f t="shared" si="1"/>
        <v>0.75</v>
      </c>
      <c r="D125" s="119" t="str">
        <f>IFERROR(__xludf.DUMMYFUNCTION("SPARKLINE(C125, {""charttype"", ""bar""; ""max"", 1; ""color1"", IF(C125 &lt; 0.5, ""red"", IF(C125 &lt; 0.75, ""orange"", ""green""))})"),"")</f>
        <v/>
      </c>
      <c r="E125" s="121" t="str">
        <f>IFERROR(__xludf.DUMMYFUNCTION("IFERROR(TEXTJOIN("", "", TRUE, FILTER(FILTER($H$1:$K$1, $H$1:$K$1 &lt;&gt; """"), (MAP(FILTER($H$1:$K$1, $H$1:$K$1 &lt;&gt; """"), LAMBDA(player, IFNA(INDEX(Availability!$A:$AAA, MATCH($A125, Availability!$A:$A, 0), MATCH(player, Availability!$1:$1, 0))))) = ""U"")))"&amp;")"),"")</f>
        <v/>
      </c>
      <c r="F125" s="121" t="str">
        <f>IFERROR(__xludf.DUMMYFUNCTION("IFERROR(TEXTJOIN("", "", TRUE, FILTER(FILTER($H$1:$K$1, $H$1:$K$1 &lt;&gt; """"), (MAP(FILTER($H$1:$K$1, $H$1:$K$1 &lt;&gt; """"), LAMBDA(player, IFNA(INDEX(Availability!$A:$AAA, MATCH($A125, Availability!$A:$A, 0), MATCH(player, Availability!$1:$1, 0))))) = ""X"")))"&amp;")"),"Robbie Frost")</f>
        <v>Robbie Frost</v>
      </c>
      <c r="G125" s="121" t="str">
        <f>IFERROR(__xludf.DUMMYFUNCTION("IFERROR(TEXTJOIN("", "", TRUE, FILTER(FILTER($H$1:$K$1, $H$1:$K$1 &lt;&gt; """"), (MAP(FILTER($H$1:$K$1, $H$1:$K$1 &lt;&gt; """"), LAMBDA(player, IFNA(INDEX(Availability!$A:$AAA, MATCH($A125, Availability!$A:$A, 0), MATCH(player, Availability!$1:$1, 0))))) = ""R"")))"&amp;")"),"")</f>
        <v/>
      </c>
    </row>
    <row r="126">
      <c r="A126" s="118">
        <f t="shared" si="2"/>
        <v>46066</v>
      </c>
      <c r="B126" s="119">
        <f>IFERROR(__xludf.DUMMYFUNCTION("COUNTIFS(MAP(FILTER($H$1:$K$1, $H$1:$K$1 &lt;&gt; """"), LAMBDA(player, IFNA(INDEX(Availability!$A:$AAA, MATCH($A126, Availability!$A:$A, 0), MATCH(player, Availability!$1:$1, 0))))), ""X"") + COUNTIFS(MAP(FILTER($H$1:$K$1, $H$1:$K$1 &lt;&gt; """"), LAMBDA(player, IF"&amp;"NA(INDEX(Availability!$A:$AAA, MATCH($A126, Availability!$A:$A, 0), MATCH(player, Availability!$1:$1, 0))))), ""U"") + COUNTIFS(MAP(FILTER($H$1:$K$1, $H$1:$K$1 &lt;&gt; """"), LAMBDA(player, IFNA(INDEX(Availability!$A:$AAA, MATCH($A126, Availability!$A:$A, 0), "&amp;"MATCH(player, Availability!$1:$1, 0))))), ""R"")"),1.0)</f>
        <v>1</v>
      </c>
      <c r="C126" s="120">
        <f t="shared" si="1"/>
        <v>0.75</v>
      </c>
      <c r="D126" s="119" t="str">
        <f>IFERROR(__xludf.DUMMYFUNCTION("SPARKLINE(C126, {""charttype"", ""bar""; ""max"", 1; ""color1"", IF(C126 &lt; 0.5, ""red"", IF(C126 &lt; 0.75, ""orange"", ""green""))})"),"")</f>
        <v/>
      </c>
      <c r="E126" s="121" t="str">
        <f>IFERROR(__xludf.DUMMYFUNCTION("IFERROR(TEXTJOIN("", "", TRUE, FILTER(FILTER($H$1:$K$1, $H$1:$K$1 &lt;&gt; """"), (MAP(FILTER($H$1:$K$1, $H$1:$K$1 &lt;&gt; """"), LAMBDA(player, IFNA(INDEX(Availability!$A:$AAA, MATCH($A126, Availability!$A:$A, 0), MATCH(player, Availability!$1:$1, 0))))) = ""U"")))"&amp;")"),"")</f>
        <v/>
      </c>
      <c r="F126" s="121" t="str">
        <f>IFERROR(__xludf.DUMMYFUNCTION("IFERROR(TEXTJOIN("", "", TRUE, FILTER(FILTER($H$1:$K$1, $H$1:$K$1 &lt;&gt; """"), (MAP(FILTER($H$1:$K$1, $H$1:$K$1 &lt;&gt; """"), LAMBDA(player, IFNA(INDEX(Availability!$A:$AAA, MATCH($A126, Availability!$A:$A, 0), MATCH(player, Availability!$1:$1, 0))))) = ""X"")))"&amp;")"),"")</f>
        <v/>
      </c>
      <c r="G126" s="121" t="str">
        <f>IFERROR(__xludf.DUMMYFUNCTION("IFERROR(TEXTJOIN("", "", TRUE, FILTER(FILTER($H$1:$K$1, $H$1:$K$1 &lt;&gt; """"), (MAP(FILTER($H$1:$K$1, $H$1:$K$1 &lt;&gt; """"), LAMBDA(player, IFNA(INDEX(Availability!$A:$AAA, MATCH($A126, Availability!$A:$A, 0), MATCH(player, Availability!$1:$1, 0))))) = ""R"")))"&amp;")"),"Robbie Frost")</f>
        <v>Robbie Frost</v>
      </c>
    </row>
    <row r="127">
      <c r="A127" s="118">
        <f t="shared" si="2"/>
        <v>46067</v>
      </c>
      <c r="B127" s="119">
        <f>IFERROR(__xludf.DUMMYFUNCTION("COUNTIFS(MAP(FILTER($H$1:$K$1, $H$1:$K$1 &lt;&gt; """"), LAMBDA(player, IFNA(INDEX(Availability!$A:$AAA, MATCH($A127, Availability!$A:$A, 0), MATCH(player, Availability!$1:$1, 0))))), ""X"") + COUNTIFS(MAP(FILTER($H$1:$K$1, $H$1:$K$1 &lt;&gt; """"), LAMBDA(player, IF"&amp;"NA(INDEX(Availability!$A:$AAA, MATCH($A127, Availability!$A:$A, 0), MATCH(player, Availability!$1:$1, 0))))), ""U"") + COUNTIFS(MAP(FILTER($H$1:$K$1, $H$1:$K$1 &lt;&gt; """"), LAMBDA(player, IFNA(INDEX(Availability!$A:$AAA, MATCH($A127, Availability!$A:$A, 0), "&amp;"MATCH(player, Availability!$1:$1, 0))))), ""R"")"),1.0)</f>
        <v>1</v>
      </c>
      <c r="C127" s="120">
        <f t="shared" si="1"/>
        <v>0.75</v>
      </c>
      <c r="D127" s="119" t="str">
        <f>IFERROR(__xludf.DUMMYFUNCTION("SPARKLINE(C127, {""charttype"", ""bar""; ""max"", 1; ""color1"", IF(C127 &lt; 0.5, ""red"", IF(C127 &lt; 0.75, ""orange"", ""green""))})"),"")</f>
        <v/>
      </c>
      <c r="E127" s="121" t="str">
        <f>IFERROR(__xludf.DUMMYFUNCTION("IFERROR(TEXTJOIN("", "", TRUE, FILTER(FILTER($H$1:$K$1, $H$1:$K$1 &lt;&gt; """"), (MAP(FILTER($H$1:$K$1, $H$1:$K$1 &lt;&gt; """"), LAMBDA(player, IFNA(INDEX(Availability!$A:$AAA, MATCH($A127, Availability!$A:$A, 0), MATCH(player, Availability!$1:$1, 0))))) = ""U"")))"&amp;")"),"")</f>
        <v/>
      </c>
      <c r="F127" s="121" t="str">
        <f>IFERROR(__xludf.DUMMYFUNCTION("IFERROR(TEXTJOIN("", "", TRUE, FILTER(FILTER($H$1:$K$1, $H$1:$K$1 &lt;&gt; """"), (MAP(FILTER($H$1:$K$1, $H$1:$K$1 &lt;&gt; """"), LAMBDA(player, IFNA(INDEX(Availability!$A:$AAA, MATCH($A127, Availability!$A:$A, 0), MATCH(player, Availability!$1:$1, 0))))) = ""X"")))"&amp;")"),"")</f>
        <v/>
      </c>
      <c r="G127" s="121" t="str">
        <f>IFERROR(__xludf.DUMMYFUNCTION("IFERROR(TEXTJOIN("", "", TRUE, FILTER(FILTER($H$1:$K$1, $H$1:$K$1 &lt;&gt; """"), (MAP(FILTER($H$1:$K$1, $H$1:$K$1 &lt;&gt; """"), LAMBDA(player, IFNA(INDEX(Availability!$A:$AAA, MATCH($A127, Availability!$A:$A, 0), MATCH(player, Availability!$1:$1, 0))))) = ""R"")))"&amp;")"),"Robbie Frost")</f>
        <v>Robbie Frost</v>
      </c>
    </row>
    <row r="128">
      <c r="A128" s="118">
        <f t="shared" si="2"/>
        <v>46068</v>
      </c>
      <c r="B128" s="119">
        <f>IFERROR(__xludf.DUMMYFUNCTION("COUNTIFS(MAP(FILTER($H$1:$K$1, $H$1:$K$1 &lt;&gt; """"), LAMBDA(player, IFNA(INDEX(Availability!$A:$AAA, MATCH($A128, Availability!$A:$A, 0), MATCH(player, Availability!$1:$1, 0))))), ""X"") + COUNTIFS(MAP(FILTER($H$1:$K$1, $H$1:$K$1 &lt;&gt; """"), LAMBDA(player, IF"&amp;"NA(INDEX(Availability!$A:$AAA, MATCH($A128, Availability!$A:$A, 0), MATCH(player, Availability!$1:$1, 0))))), ""U"") + COUNTIFS(MAP(FILTER($H$1:$K$1, $H$1:$K$1 &lt;&gt; """"), LAMBDA(player, IFNA(INDEX(Availability!$A:$AAA, MATCH($A128, Availability!$A:$A, 0), "&amp;"MATCH(player, Availability!$1:$1, 0))))), ""R"")"),1.0)</f>
        <v>1</v>
      </c>
      <c r="C128" s="120">
        <f t="shared" si="1"/>
        <v>0.75</v>
      </c>
      <c r="D128" s="119" t="str">
        <f>IFERROR(__xludf.DUMMYFUNCTION("SPARKLINE(C128, {""charttype"", ""bar""; ""max"", 1; ""color1"", IF(C128 &lt; 0.5, ""red"", IF(C128 &lt; 0.75, ""orange"", ""green""))})"),"")</f>
        <v/>
      </c>
      <c r="E128" s="121" t="str">
        <f>IFERROR(__xludf.DUMMYFUNCTION("IFERROR(TEXTJOIN("", "", TRUE, FILTER(FILTER($H$1:$K$1, $H$1:$K$1 &lt;&gt; """"), (MAP(FILTER($H$1:$K$1, $H$1:$K$1 &lt;&gt; """"), LAMBDA(player, IFNA(INDEX(Availability!$A:$AAA, MATCH($A128, Availability!$A:$A, 0), MATCH(player, Availability!$1:$1, 0))))) = ""U"")))"&amp;")"),"")</f>
        <v/>
      </c>
      <c r="F128" s="121" t="str">
        <f>IFERROR(__xludf.DUMMYFUNCTION("IFERROR(TEXTJOIN("", "", TRUE, FILTER(FILTER($H$1:$K$1, $H$1:$K$1 &lt;&gt; """"), (MAP(FILTER($H$1:$K$1, $H$1:$K$1 &lt;&gt; """"), LAMBDA(player, IFNA(INDEX(Availability!$A:$AAA, MATCH($A128, Availability!$A:$A, 0), MATCH(player, Availability!$1:$1, 0))))) = ""X"")))"&amp;")"),"")</f>
        <v/>
      </c>
      <c r="G128" s="121" t="str">
        <f>IFERROR(__xludf.DUMMYFUNCTION("IFERROR(TEXTJOIN("", "", TRUE, FILTER(FILTER($H$1:$K$1, $H$1:$K$1 &lt;&gt; """"), (MAP(FILTER($H$1:$K$1, $H$1:$K$1 &lt;&gt; """"), LAMBDA(player, IFNA(INDEX(Availability!$A:$AAA, MATCH($A128, Availability!$A:$A, 0), MATCH(player, Availability!$1:$1, 0))))) = ""R"")))"&amp;")"),"Robbie Frost")</f>
        <v>Robbie Frost</v>
      </c>
    </row>
    <row r="129">
      <c r="A129" s="118">
        <f t="shared" si="2"/>
        <v>46069</v>
      </c>
      <c r="B129" s="119">
        <f>IFERROR(__xludf.DUMMYFUNCTION("COUNTIFS(MAP(FILTER($H$1:$K$1, $H$1:$K$1 &lt;&gt; """"), LAMBDA(player, IFNA(INDEX(Availability!$A:$AAA, MATCH($A129, Availability!$A:$A, 0), MATCH(player, Availability!$1:$1, 0))))), ""X"") + COUNTIFS(MAP(FILTER($H$1:$K$1, $H$1:$K$1 &lt;&gt; """"), LAMBDA(player, IF"&amp;"NA(INDEX(Availability!$A:$AAA, MATCH($A129, Availability!$A:$A, 0), MATCH(player, Availability!$1:$1, 0))))), ""U"") + COUNTIFS(MAP(FILTER($H$1:$K$1, $H$1:$K$1 &lt;&gt; """"), LAMBDA(player, IFNA(INDEX(Availability!$A:$AAA, MATCH($A129, Availability!$A:$A, 0), "&amp;"MATCH(player, Availability!$1:$1, 0))))), ""R"")"),1.0)</f>
        <v>1</v>
      </c>
      <c r="C129" s="120">
        <f t="shared" si="1"/>
        <v>0.75</v>
      </c>
      <c r="D129" s="119" t="str">
        <f>IFERROR(__xludf.DUMMYFUNCTION("SPARKLINE(C129, {""charttype"", ""bar""; ""max"", 1; ""color1"", IF(C129 &lt; 0.5, ""red"", IF(C129 &lt; 0.75, ""orange"", ""green""))})"),"")</f>
        <v/>
      </c>
      <c r="E129" s="121" t="str">
        <f>IFERROR(__xludf.DUMMYFUNCTION("IFERROR(TEXTJOIN("", "", TRUE, FILTER(FILTER($H$1:$K$1, $H$1:$K$1 &lt;&gt; """"), (MAP(FILTER($H$1:$K$1, $H$1:$K$1 &lt;&gt; """"), LAMBDA(player, IFNA(INDEX(Availability!$A:$AAA, MATCH($A129, Availability!$A:$A, 0), MATCH(player, Availability!$1:$1, 0))))) = ""U"")))"&amp;")"),"")</f>
        <v/>
      </c>
      <c r="F129" s="121" t="str">
        <f>IFERROR(__xludf.DUMMYFUNCTION("IFERROR(TEXTJOIN("", "", TRUE, FILTER(FILTER($H$1:$K$1, $H$1:$K$1 &lt;&gt; """"), (MAP(FILTER($H$1:$K$1, $H$1:$K$1 &lt;&gt; """"), LAMBDA(player, IFNA(INDEX(Availability!$A:$AAA, MATCH($A129, Availability!$A:$A, 0), MATCH(player, Availability!$1:$1, 0))))) = ""X"")))"&amp;")"),"Robbie Frost")</f>
        <v>Robbie Frost</v>
      </c>
      <c r="G129" s="121" t="str">
        <f>IFERROR(__xludf.DUMMYFUNCTION("IFERROR(TEXTJOIN("", "", TRUE, FILTER(FILTER($H$1:$K$1, $H$1:$K$1 &lt;&gt; """"), (MAP(FILTER($H$1:$K$1, $H$1:$K$1 &lt;&gt; """"), LAMBDA(player, IFNA(INDEX(Availability!$A:$AAA, MATCH($A129, Availability!$A:$A, 0), MATCH(player, Availability!$1:$1, 0))))) = ""R"")))"&amp;")"),"")</f>
        <v/>
      </c>
    </row>
    <row r="130">
      <c r="A130" s="118">
        <f t="shared" si="2"/>
        <v>46070</v>
      </c>
      <c r="B130" s="119">
        <f>IFERROR(__xludf.DUMMYFUNCTION("COUNTIFS(MAP(FILTER($H$1:$K$1, $H$1:$K$1 &lt;&gt; """"), LAMBDA(player, IFNA(INDEX(Availability!$A:$AAA, MATCH($A130, Availability!$A:$A, 0), MATCH(player, Availability!$1:$1, 0))))), ""X"") + COUNTIFS(MAP(FILTER($H$1:$K$1, $H$1:$K$1 &lt;&gt; """"), LAMBDA(player, IF"&amp;"NA(INDEX(Availability!$A:$AAA, MATCH($A130, Availability!$A:$A, 0), MATCH(player, Availability!$1:$1, 0))))), ""U"") + COUNTIFS(MAP(FILTER($H$1:$K$1, $H$1:$K$1 &lt;&gt; """"), LAMBDA(player, IFNA(INDEX(Availability!$A:$AAA, MATCH($A130, Availability!$A:$A, 0), "&amp;"MATCH(player, Availability!$1:$1, 0))))), ""R"")"),1.0)</f>
        <v>1</v>
      </c>
      <c r="C130" s="120">
        <f t="shared" si="1"/>
        <v>0.75</v>
      </c>
      <c r="D130" s="119" t="str">
        <f>IFERROR(__xludf.DUMMYFUNCTION("SPARKLINE(C130, {""charttype"", ""bar""; ""max"", 1; ""color1"", IF(C130 &lt; 0.5, ""red"", IF(C130 &lt; 0.75, ""orange"", ""green""))})"),"")</f>
        <v/>
      </c>
      <c r="E130" s="121" t="str">
        <f>IFERROR(__xludf.DUMMYFUNCTION("IFERROR(TEXTJOIN("", "", TRUE, FILTER(FILTER($H$1:$K$1, $H$1:$K$1 &lt;&gt; """"), (MAP(FILTER($H$1:$K$1, $H$1:$K$1 &lt;&gt; """"), LAMBDA(player, IFNA(INDEX(Availability!$A:$AAA, MATCH($A130, Availability!$A:$A, 0), MATCH(player, Availability!$1:$1, 0))))) = ""U"")))"&amp;")"),"")</f>
        <v/>
      </c>
      <c r="F130" s="121" t="str">
        <f>IFERROR(__xludf.DUMMYFUNCTION("IFERROR(TEXTJOIN("", "", TRUE, FILTER(FILTER($H$1:$K$1, $H$1:$K$1 &lt;&gt; """"), (MAP(FILTER($H$1:$K$1, $H$1:$K$1 &lt;&gt; """"), LAMBDA(player, IFNA(INDEX(Availability!$A:$AAA, MATCH($A130, Availability!$A:$A, 0), MATCH(player, Availability!$1:$1, 0))))) = ""X"")))"&amp;")"),"")</f>
        <v/>
      </c>
      <c r="G130" s="121" t="str">
        <f>IFERROR(__xludf.DUMMYFUNCTION("IFERROR(TEXTJOIN("", "", TRUE, FILTER(FILTER($H$1:$K$1, $H$1:$K$1 &lt;&gt; """"), (MAP(FILTER($H$1:$K$1, $H$1:$K$1 &lt;&gt; """"), LAMBDA(player, IFNA(INDEX(Availability!$A:$AAA, MATCH($A130, Availability!$A:$A, 0), MATCH(player, Availability!$1:$1, 0))))) = ""R"")))"&amp;")"),"Robbie Frost")</f>
        <v>Robbie Frost</v>
      </c>
    </row>
    <row r="131">
      <c r="A131" s="118">
        <f t="shared" si="2"/>
        <v>46071</v>
      </c>
      <c r="B131" s="119">
        <f>IFERROR(__xludf.DUMMYFUNCTION("COUNTIFS(MAP(FILTER($H$1:$K$1, $H$1:$K$1 &lt;&gt; """"), LAMBDA(player, IFNA(INDEX(Availability!$A:$AAA, MATCH($A131, Availability!$A:$A, 0), MATCH(player, Availability!$1:$1, 0))))), ""X"") + COUNTIFS(MAP(FILTER($H$1:$K$1, $H$1:$K$1 &lt;&gt; """"), LAMBDA(player, IF"&amp;"NA(INDEX(Availability!$A:$AAA, MATCH($A131, Availability!$A:$A, 0), MATCH(player, Availability!$1:$1, 0))))), ""U"") + COUNTIFS(MAP(FILTER($H$1:$K$1, $H$1:$K$1 &lt;&gt; """"), LAMBDA(player, IFNA(INDEX(Availability!$A:$AAA, MATCH($A131, Availability!$A:$A, 0), "&amp;"MATCH(player, Availability!$1:$1, 0))))), ""R"")"),1.0)</f>
        <v>1</v>
      </c>
      <c r="C131" s="120">
        <f t="shared" si="1"/>
        <v>0.75</v>
      </c>
      <c r="D131" s="119" t="str">
        <f>IFERROR(__xludf.DUMMYFUNCTION("SPARKLINE(C131, {""charttype"", ""bar""; ""max"", 1; ""color1"", IF(C131 &lt; 0.5, ""red"", IF(C131 &lt; 0.75, ""orange"", ""green""))})"),"")</f>
        <v/>
      </c>
      <c r="E131" s="121" t="str">
        <f>IFERROR(__xludf.DUMMYFUNCTION("IFERROR(TEXTJOIN("", "", TRUE, FILTER(FILTER($H$1:$K$1, $H$1:$K$1 &lt;&gt; """"), (MAP(FILTER($H$1:$K$1, $H$1:$K$1 &lt;&gt; """"), LAMBDA(player, IFNA(INDEX(Availability!$A:$AAA, MATCH($A131, Availability!$A:$A, 0), MATCH(player, Availability!$1:$1, 0))))) = ""U"")))"&amp;")"),"")</f>
        <v/>
      </c>
      <c r="F131" s="121" t="str">
        <f>IFERROR(__xludf.DUMMYFUNCTION("IFERROR(TEXTJOIN("", "", TRUE, FILTER(FILTER($H$1:$K$1, $H$1:$K$1 &lt;&gt; """"), (MAP(FILTER($H$1:$K$1, $H$1:$K$1 &lt;&gt; """"), LAMBDA(player, IFNA(INDEX(Availability!$A:$AAA, MATCH($A131, Availability!$A:$A, 0), MATCH(player, Availability!$1:$1, 0))))) = ""X"")))"&amp;")"),"")</f>
        <v/>
      </c>
      <c r="G131" s="121" t="str">
        <f>IFERROR(__xludf.DUMMYFUNCTION("IFERROR(TEXTJOIN("", "", TRUE, FILTER(FILTER($H$1:$K$1, $H$1:$K$1 &lt;&gt; """"), (MAP(FILTER($H$1:$K$1, $H$1:$K$1 &lt;&gt; """"), LAMBDA(player, IFNA(INDEX(Availability!$A:$AAA, MATCH($A131, Availability!$A:$A, 0), MATCH(player, Availability!$1:$1, 0))))) = ""R"")))"&amp;")"),"Robbie Frost")</f>
        <v>Robbie Frost</v>
      </c>
    </row>
    <row r="132">
      <c r="A132" s="118">
        <f t="shared" si="2"/>
        <v>46072</v>
      </c>
      <c r="B132" s="119">
        <f>IFERROR(__xludf.DUMMYFUNCTION("COUNTIFS(MAP(FILTER($H$1:$K$1, $H$1:$K$1 &lt;&gt; """"), LAMBDA(player, IFNA(INDEX(Availability!$A:$AAA, MATCH($A132, Availability!$A:$A, 0), MATCH(player, Availability!$1:$1, 0))))), ""X"") + COUNTIFS(MAP(FILTER($H$1:$K$1, $H$1:$K$1 &lt;&gt; """"), LAMBDA(player, IF"&amp;"NA(INDEX(Availability!$A:$AAA, MATCH($A132, Availability!$A:$A, 0), MATCH(player, Availability!$1:$1, 0))))), ""U"") + COUNTIFS(MAP(FILTER($H$1:$K$1, $H$1:$K$1 &lt;&gt; """"), LAMBDA(player, IFNA(INDEX(Availability!$A:$AAA, MATCH($A132, Availability!$A:$A, 0), "&amp;"MATCH(player, Availability!$1:$1, 0))))), ""R"")"),0.0)</f>
        <v>0</v>
      </c>
      <c r="C132" s="120">
        <f t="shared" si="1"/>
        <v>1</v>
      </c>
      <c r="D132" s="119" t="str">
        <f>IFERROR(__xludf.DUMMYFUNCTION("SPARKLINE(C132, {""charttype"", ""bar""; ""max"", 1; ""color1"", IF(C132 &lt; 0.5, ""red"", IF(C132 &lt; 0.75, ""orange"", ""green""))})"),"")</f>
        <v/>
      </c>
      <c r="E132" s="121" t="str">
        <f>IFERROR(__xludf.DUMMYFUNCTION("IFERROR(TEXTJOIN("", "", TRUE, FILTER(FILTER($H$1:$K$1, $H$1:$K$1 &lt;&gt; """"), (MAP(FILTER($H$1:$K$1, $H$1:$K$1 &lt;&gt; """"), LAMBDA(player, IFNA(INDEX(Availability!$A:$AAA, MATCH($A132, Availability!$A:$A, 0), MATCH(player, Availability!$1:$1, 0))))) = ""U"")))"&amp;")"),"")</f>
        <v/>
      </c>
      <c r="F132" s="121" t="str">
        <f>IFERROR(__xludf.DUMMYFUNCTION("IFERROR(TEXTJOIN("", "", TRUE, FILTER(FILTER($H$1:$K$1, $H$1:$K$1 &lt;&gt; """"), (MAP(FILTER($H$1:$K$1, $H$1:$K$1 &lt;&gt; """"), LAMBDA(player, IFNA(INDEX(Availability!$A:$AAA, MATCH($A132, Availability!$A:$A, 0), MATCH(player, Availability!$1:$1, 0))))) = ""X"")))"&amp;")"),"")</f>
        <v/>
      </c>
      <c r="G132" s="121" t="str">
        <f>IFERROR(__xludf.DUMMYFUNCTION("IFERROR(TEXTJOIN("", "", TRUE, FILTER(FILTER($H$1:$K$1, $H$1:$K$1 &lt;&gt; """"), (MAP(FILTER($H$1:$K$1, $H$1:$K$1 &lt;&gt; """"), LAMBDA(player, IFNA(INDEX(Availability!$A:$AAA, MATCH($A132, Availability!$A:$A, 0), MATCH(player, Availability!$1:$1, 0))))) = ""R"")))"&amp;")"),"")</f>
        <v/>
      </c>
    </row>
    <row r="133">
      <c r="A133" s="118">
        <f t="shared" si="2"/>
        <v>46073</v>
      </c>
      <c r="B133" s="119">
        <f>IFERROR(__xludf.DUMMYFUNCTION("COUNTIFS(MAP(FILTER($H$1:$K$1, $H$1:$K$1 &lt;&gt; """"), LAMBDA(player, IFNA(INDEX(Availability!$A:$AAA, MATCH($A133, Availability!$A:$A, 0), MATCH(player, Availability!$1:$1, 0))))), ""X"") + COUNTIFS(MAP(FILTER($H$1:$K$1, $H$1:$K$1 &lt;&gt; """"), LAMBDA(player, IF"&amp;"NA(INDEX(Availability!$A:$AAA, MATCH($A133, Availability!$A:$A, 0), MATCH(player, Availability!$1:$1, 0))))), ""U"") + COUNTIFS(MAP(FILTER($H$1:$K$1, $H$1:$K$1 &lt;&gt; """"), LAMBDA(player, IFNA(INDEX(Availability!$A:$AAA, MATCH($A133, Availability!$A:$A, 0), "&amp;"MATCH(player, Availability!$1:$1, 0))))), ""R"")"),1.0)</f>
        <v>1</v>
      </c>
      <c r="C133" s="120">
        <f t="shared" si="1"/>
        <v>0.75</v>
      </c>
      <c r="D133" s="119" t="str">
        <f>IFERROR(__xludf.DUMMYFUNCTION("SPARKLINE(C133, {""charttype"", ""bar""; ""max"", 1; ""color1"", IF(C133 &lt; 0.5, ""red"", IF(C133 &lt; 0.75, ""orange"", ""green""))})"),"")</f>
        <v/>
      </c>
      <c r="E133" s="121" t="str">
        <f>IFERROR(__xludf.DUMMYFUNCTION("IFERROR(TEXTJOIN("", "", TRUE, FILTER(FILTER($H$1:$K$1, $H$1:$K$1 &lt;&gt; """"), (MAP(FILTER($H$1:$K$1, $H$1:$K$1 &lt;&gt; """"), LAMBDA(player, IFNA(INDEX(Availability!$A:$AAA, MATCH($A133, Availability!$A:$A, 0), MATCH(player, Availability!$1:$1, 0))))) = ""U"")))"&amp;")"),"Robbie Frost")</f>
        <v>Robbie Frost</v>
      </c>
      <c r="F133" s="121" t="str">
        <f>IFERROR(__xludf.DUMMYFUNCTION("IFERROR(TEXTJOIN("", "", TRUE, FILTER(FILTER($H$1:$K$1, $H$1:$K$1 &lt;&gt; """"), (MAP(FILTER($H$1:$K$1, $H$1:$K$1 &lt;&gt; """"), LAMBDA(player, IFNA(INDEX(Availability!$A:$AAA, MATCH($A133, Availability!$A:$A, 0), MATCH(player, Availability!$1:$1, 0))))) = ""X"")))"&amp;")"),"")</f>
        <v/>
      </c>
      <c r="G133" s="121" t="str">
        <f>IFERROR(__xludf.DUMMYFUNCTION("IFERROR(TEXTJOIN("", "", TRUE, FILTER(FILTER($H$1:$K$1, $H$1:$K$1 &lt;&gt; """"), (MAP(FILTER($H$1:$K$1, $H$1:$K$1 &lt;&gt; """"), LAMBDA(player, IFNA(INDEX(Availability!$A:$AAA, MATCH($A133, Availability!$A:$A, 0), MATCH(player, Availability!$1:$1, 0))))) = ""R"")))"&amp;")"),"")</f>
        <v/>
      </c>
    </row>
    <row r="134">
      <c r="A134" s="118">
        <f t="shared" si="2"/>
        <v>46074</v>
      </c>
      <c r="B134" s="119">
        <f>IFERROR(__xludf.DUMMYFUNCTION("COUNTIFS(MAP(FILTER($H$1:$K$1, $H$1:$K$1 &lt;&gt; """"), LAMBDA(player, IFNA(INDEX(Availability!$A:$AAA, MATCH($A134, Availability!$A:$A, 0), MATCH(player, Availability!$1:$1, 0))))), ""X"") + COUNTIFS(MAP(FILTER($H$1:$K$1, $H$1:$K$1 &lt;&gt; """"), LAMBDA(player, IF"&amp;"NA(INDEX(Availability!$A:$AAA, MATCH($A134, Availability!$A:$A, 0), MATCH(player, Availability!$1:$1, 0))))), ""U"") + COUNTIFS(MAP(FILTER($H$1:$K$1, $H$1:$K$1 &lt;&gt; """"), LAMBDA(player, IFNA(INDEX(Availability!$A:$AAA, MATCH($A134, Availability!$A:$A, 0), "&amp;"MATCH(player, Availability!$1:$1, 0))))), ""R"")"),1.0)</f>
        <v>1</v>
      </c>
      <c r="C134" s="120">
        <f t="shared" si="1"/>
        <v>0.75</v>
      </c>
      <c r="D134" s="119" t="str">
        <f>IFERROR(__xludf.DUMMYFUNCTION("SPARKLINE(C134, {""charttype"", ""bar""; ""max"", 1; ""color1"", IF(C134 &lt; 0.5, ""red"", IF(C134 &lt; 0.75, ""orange"", ""green""))})"),"")</f>
        <v/>
      </c>
      <c r="E134" s="121" t="str">
        <f>IFERROR(__xludf.DUMMYFUNCTION("IFERROR(TEXTJOIN("", "", TRUE, FILTER(FILTER($H$1:$K$1, $H$1:$K$1 &lt;&gt; """"), (MAP(FILTER($H$1:$K$1, $H$1:$K$1 &lt;&gt; """"), LAMBDA(player, IFNA(INDEX(Availability!$A:$AAA, MATCH($A134, Availability!$A:$A, 0), MATCH(player, Availability!$1:$1, 0))))) = ""U"")))"&amp;")"),"Robbie Frost")</f>
        <v>Robbie Frost</v>
      </c>
      <c r="F134" s="121" t="str">
        <f>IFERROR(__xludf.DUMMYFUNCTION("IFERROR(TEXTJOIN("", "", TRUE, FILTER(FILTER($H$1:$K$1, $H$1:$K$1 &lt;&gt; """"), (MAP(FILTER($H$1:$K$1, $H$1:$K$1 &lt;&gt; """"), LAMBDA(player, IFNA(INDEX(Availability!$A:$AAA, MATCH($A134, Availability!$A:$A, 0), MATCH(player, Availability!$1:$1, 0))))) = ""X"")))"&amp;")"),"")</f>
        <v/>
      </c>
      <c r="G134" s="121" t="str">
        <f>IFERROR(__xludf.DUMMYFUNCTION("IFERROR(TEXTJOIN("", "", TRUE, FILTER(FILTER($H$1:$K$1, $H$1:$K$1 &lt;&gt; """"), (MAP(FILTER($H$1:$K$1, $H$1:$K$1 &lt;&gt; """"), LAMBDA(player, IFNA(INDEX(Availability!$A:$AAA, MATCH($A134, Availability!$A:$A, 0), MATCH(player, Availability!$1:$1, 0))))) = ""R"")))"&amp;")"),"")</f>
        <v/>
      </c>
    </row>
    <row r="135">
      <c r="A135" s="118">
        <f t="shared" si="2"/>
        <v>46075</v>
      </c>
      <c r="B135" s="119">
        <f>IFERROR(__xludf.DUMMYFUNCTION("COUNTIFS(MAP(FILTER($H$1:$K$1, $H$1:$K$1 &lt;&gt; """"), LAMBDA(player, IFNA(INDEX(Availability!$A:$AAA, MATCH($A135, Availability!$A:$A, 0), MATCH(player, Availability!$1:$1, 0))))), ""X"") + COUNTIFS(MAP(FILTER($H$1:$K$1, $H$1:$K$1 &lt;&gt; """"), LAMBDA(player, IF"&amp;"NA(INDEX(Availability!$A:$AAA, MATCH($A135, Availability!$A:$A, 0), MATCH(player, Availability!$1:$1, 0))))), ""U"") + COUNTIFS(MAP(FILTER($H$1:$K$1, $H$1:$K$1 &lt;&gt; """"), LAMBDA(player, IFNA(INDEX(Availability!$A:$AAA, MATCH($A135, Availability!$A:$A, 0), "&amp;"MATCH(player, Availability!$1:$1, 0))))), ""R"")"),2.0)</f>
        <v>2</v>
      </c>
      <c r="C135" s="120">
        <f t="shared" si="1"/>
        <v>0.5</v>
      </c>
      <c r="D135" s="119" t="str">
        <f>IFERROR(__xludf.DUMMYFUNCTION("SPARKLINE(C135, {""charttype"", ""bar""; ""max"", 1; ""color1"", IF(C135 &lt; 0.5, ""red"", IF(C135 &lt; 0.75, ""orange"", ""green""))})"),"")</f>
        <v/>
      </c>
      <c r="E135" s="121" t="str">
        <f>IFERROR(__xludf.DUMMYFUNCTION("IFERROR(TEXTJOIN("", "", TRUE, FILTER(FILTER($H$1:$K$1, $H$1:$K$1 &lt;&gt; """"), (MAP(FILTER($H$1:$K$1, $H$1:$K$1 &lt;&gt; """"), LAMBDA(player, IFNA(INDEX(Availability!$A:$AAA, MATCH($A135, Availability!$A:$A, 0), MATCH(player, Availability!$1:$1, 0))))) = ""U"")))"&amp;")"),"Robbie Frost, Grace Webster")</f>
        <v>Robbie Frost, Grace Webster</v>
      </c>
      <c r="F135" s="121" t="str">
        <f>IFERROR(__xludf.DUMMYFUNCTION("IFERROR(TEXTJOIN("", "", TRUE, FILTER(FILTER($H$1:$K$1, $H$1:$K$1 &lt;&gt; """"), (MAP(FILTER($H$1:$K$1, $H$1:$K$1 &lt;&gt; """"), LAMBDA(player, IFNA(INDEX(Availability!$A:$AAA, MATCH($A135, Availability!$A:$A, 0), MATCH(player, Availability!$1:$1, 0))))) = ""X"")))"&amp;")"),"")</f>
        <v/>
      </c>
      <c r="G135" s="121" t="str">
        <f>IFERROR(__xludf.DUMMYFUNCTION("IFERROR(TEXTJOIN("", "", TRUE, FILTER(FILTER($H$1:$K$1, $H$1:$K$1 &lt;&gt; """"), (MAP(FILTER($H$1:$K$1, $H$1:$K$1 &lt;&gt; """"), LAMBDA(player, IFNA(INDEX(Availability!$A:$AAA, MATCH($A135, Availability!$A:$A, 0), MATCH(player, Availability!$1:$1, 0))))) = ""R"")))"&amp;")"),"")</f>
        <v/>
      </c>
    </row>
    <row r="136">
      <c r="A136" s="118">
        <f t="shared" si="2"/>
        <v>46076</v>
      </c>
      <c r="B136" s="119">
        <f>IFERROR(__xludf.DUMMYFUNCTION("COUNTIFS(MAP(FILTER($H$1:$K$1, $H$1:$K$1 &lt;&gt; """"), LAMBDA(player, IFNA(INDEX(Availability!$A:$AAA, MATCH($A136, Availability!$A:$A, 0), MATCH(player, Availability!$1:$1, 0))))), ""X"") + COUNTIFS(MAP(FILTER($H$1:$K$1, $H$1:$K$1 &lt;&gt; """"), LAMBDA(player, IF"&amp;"NA(INDEX(Availability!$A:$AAA, MATCH($A136, Availability!$A:$A, 0), MATCH(player, Availability!$1:$1, 0))))), ""U"") + COUNTIFS(MAP(FILTER($H$1:$K$1, $H$1:$K$1 &lt;&gt; """"), LAMBDA(player, IFNA(INDEX(Availability!$A:$AAA, MATCH($A136, Availability!$A:$A, 0), "&amp;"MATCH(player, Availability!$1:$1, 0))))), ""R"")"),0.0)</f>
        <v>0</v>
      </c>
      <c r="C136" s="120">
        <f t="shared" si="1"/>
        <v>1</v>
      </c>
      <c r="D136" s="119" t="str">
        <f>IFERROR(__xludf.DUMMYFUNCTION("SPARKLINE(C136, {""charttype"", ""bar""; ""max"", 1; ""color1"", IF(C136 &lt; 0.5, ""red"", IF(C136 &lt; 0.75, ""orange"", ""green""))})"),"")</f>
        <v/>
      </c>
      <c r="E136" s="121" t="str">
        <f>IFERROR(__xludf.DUMMYFUNCTION("IFERROR(TEXTJOIN("", "", TRUE, FILTER(FILTER($H$1:$K$1, $H$1:$K$1 &lt;&gt; """"), (MAP(FILTER($H$1:$K$1, $H$1:$K$1 &lt;&gt; """"), LAMBDA(player, IFNA(INDEX(Availability!$A:$AAA, MATCH($A136, Availability!$A:$A, 0), MATCH(player, Availability!$1:$1, 0))))) = ""U"")))"&amp;")"),"")</f>
        <v/>
      </c>
      <c r="F136" s="121" t="str">
        <f>IFERROR(__xludf.DUMMYFUNCTION("IFERROR(TEXTJOIN("", "", TRUE, FILTER(FILTER($H$1:$K$1, $H$1:$K$1 &lt;&gt; """"), (MAP(FILTER($H$1:$K$1, $H$1:$K$1 &lt;&gt; """"), LAMBDA(player, IFNA(INDEX(Availability!$A:$AAA, MATCH($A136, Availability!$A:$A, 0), MATCH(player, Availability!$1:$1, 0))))) = ""X"")))"&amp;")"),"")</f>
        <v/>
      </c>
      <c r="G136" s="121" t="str">
        <f>IFERROR(__xludf.DUMMYFUNCTION("IFERROR(TEXTJOIN("", "", TRUE, FILTER(FILTER($H$1:$K$1, $H$1:$K$1 &lt;&gt; """"), (MAP(FILTER($H$1:$K$1, $H$1:$K$1 &lt;&gt; """"), LAMBDA(player, IFNA(INDEX(Availability!$A:$AAA, MATCH($A136, Availability!$A:$A, 0), MATCH(player, Availability!$1:$1, 0))))) = ""R"")))"&amp;")"),"")</f>
        <v/>
      </c>
    </row>
    <row r="137">
      <c r="A137" s="118">
        <f t="shared" si="2"/>
        <v>46077</v>
      </c>
      <c r="B137" s="119">
        <f>IFERROR(__xludf.DUMMYFUNCTION("COUNTIFS(MAP(FILTER($H$1:$K$1, $H$1:$K$1 &lt;&gt; """"), LAMBDA(player, IFNA(INDEX(Availability!$A:$AAA, MATCH($A137, Availability!$A:$A, 0), MATCH(player, Availability!$1:$1, 0))))), ""X"") + COUNTIFS(MAP(FILTER($H$1:$K$1, $H$1:$K$1 &lt;&gt; """"), LAMBDA(player, IF"&amp;"NA(INDEX(Availability!$A:$AAA, MATCH($A137, Availability!$A:$A, 0), MATCH(player, Availability!$1:$1, 0))))), ""U"") + COUNTIFS(MAP(FILTER($H$1:$K$1, $H$1:$K$1 &lt;&gt; """"), LAMBDA(player, IFNA(INDEX(Availability!$A:$AAA, MATCH($A137, Availability!$A:$A, 0), "&amp;"MATCH(player, Availability!$1:$1, 0))))), ""R"")"),1.0)</f>
        <v>1</v>
      </c>
      <c r="C137" s="120">
        <f t="shared" si="1"/>
        <v>0.75</v>
      </c>
      <c r="D137" s="119" t="str">
        <f>IFERROR(__xludf.DUMMYFUNCTION("SPARKLINE(C137, {""charttype"", ""bar""; ""max"", 1; ""color1"", IF(C137 &lt; 0.5, ""red"", IF(C137 &lt; 0.75, ""orange"", ""green""))})"),"")</f>
        <v/>
      </c>
      <c r="E137" s="121" t="str">
        <f>IFERROR(__xludf.DUMMYFUNCTION("IFERROR(TEXTJOIN("", "", TRUE, FILTER(FILTER($H$1:$K$1, $H$1:$K$1 &lt;&gt; """"), (MAP(FILTER($H$1:$K$1, $H$1:$K$1 &lt;&gt; """"), LAMBDA(player, IFNA(INDEX(Availability!$A:$AAA, MATCH($A137, Availability!$A:$A, 0), MATCH(player, Availability!$1:$1, 0))))) = ""U"")))"&amp;")"),"")</f>
        <v/>
      </c>
      <c r="F137" s="121" t="str">
        <f>IFERROR(__xludf.DUMMYFUNCTION("IFERROR(TEXTJOIN("", "", TRUE, FILTER(FILTER($H$1:$K$1, $H$1:$K$1 &lt;&gt; """"), (MAP(FILTER($H$1:$K$1, $H$1:$K$1 &lt;&gt; """"), LAMBDA(player, IFNA(INDEX(Availability!$A:$AAA, MATCH($A137, Availability!$A:$A, 0), MATCH(player, Availability!$1:$1, 0))))) = ""X"")))"&amp;")"),"")</f>
        <v/>
      </c>
      <c r="G137" s="121" t="str">
        <f>IFERROR(__xludf.DUMMYFUNCTION("IFERROR(TEXTJOIN("", "", TRUE, FILTER(FILTER($H$1:$K$1, $H$1:$K$1 &lt;&gt; """"), (MAP(FILTER($H$1:$K$1, $H$1:$K$1 &lt;&gt; """"), LAMBDA(player, IFNA(INDEX(Availability!$A:$AAA, MATCH($A137, Availability!$A:$A, 0), MATCH(player, Availability!$1:$1, 0))))) = ""R"")))"&amp;")"),"Grace Webster")</f>
        <v>Grace Webster</v>
      </c>
    </row>
    <row r="138">
      <c r="A138" s="118">
        <f t="shared" si="2"/>
        <v>46078</v>
      </c>
      <c r="B138" s="119">
        <f>IFERROR(__xludf.DUMMYFUNCTION("COUNTIFS(MAP(FILTER($H$1:$K$1, $H$1:$K$1 &lt;&gt; """"), LAMBDA(player, IFNA(INDEX(Availability!$A:$AAA, MATCH($A138, Availability!$A:$A, 0), MATCH(player, Availability!$1:$1, 0))))), ""X"") + COUNTIFS(MAP(FILTER($H$1:$K$1, $H$1:$K$1 &lt;&gt; """"), LAMBDA(player, IF"&amp;"NA(INDEX(Availability!$A:$AAA, MATCH($A138, Availability!$A:$A, 0), MATCH(player, Availability!$1:$1, 0))))), ""U"") + COUNTIFS(MAP(FILTER($H$1:$K$1, $H$1:$K$1 &lt;&gt; """"), LAMBDA(player, IFNA(INDEX(Availability!$A:$AAA, MATCH($A138, Availability!$A:$A, 0), "&amp;"MATCH(player, Availability!$1:$1, 0))))), ""R"")"),1.0)</f>
        <v>1</v>
      </c>
      <c r="C138" s="120">
        <f t="shared" si="1"/>
        <v>0.75</v>
      </c>
      <c r="D138" s="119" t="str">
        <f>IFERROR(__xludf.DUMMYFUNCTION("SPARKLINE(C138, {""charttype"", ""bar""; ""max"", 1; ""color1"", IF(C138 &lt; 0.5, ""red"", IF(C138 &lt; 0.75, ""orange"", ""green""))})"),"")</f>
        <v/>
      </c>
      <c r="E138" s="121" t="str">
        <f>IFERROR(__xludf.DUMMYFUNCTION("IFERROR(TEXTJOIN("", "", TRUE, FILTER(FILTER($H$1:$K$1, $H$1:$K$1 &lt;&gt; """"), (MAP(FILTER($H$1:$K$1, $H$1:$K$1 &lt;&gt; """"), LAMBDA(player, IFNA(INDEX(Availability!$A:$AAA, MATCH($A138, Availability!$A:$A, 0), MATCH(player, Availability!$1:$1, 0))))) = ""U"")))"&amp;")"),"")</f>
        <v/>
      </c>
      <c r="F138" s="121" t="str">
        <f>IFERROR(__xludf.DUMMYFUNCTION("IFERROR(TEXTJOIN("", "", TRUE, FILTER(FILTER($H$1:$K$1, $H$1:$K$1 &lt;&gt; """"), (MAP(FILTER($H$1:$K$1, $H$1:$K$1 &lt;&gt; """"), LAMBDA(player, IFNA(INDEX(Availability!$A:$AAA, MATCH($A138, Availability!$A:$A, 0), MATCH(player, Availability!$1:$1, 0))))) = ""X"")))"&amp;")"),"")</f>
        <v/>
      </c>
      <c r="G138" s="121" t="str">
        <f>IFERROR(__xludf.DUMMYFUNCTION("IFERROR(TEXTJOIN("", "", TRUE, FILTER(FILTER($H$1:$K$1, $H$1:$K$1 &lt;&gt; """"), (MAP(FILTER($H$1:$K$1, $H$1:$K$1 &lt;&gt; """"), LAMBDA(player, IFNA(INDEX(Availability!$A:$AAA, MATCH($A138, Availability!$A:$A, 0), MATCH(player, Availability!$1:$1, 0))))) = ""R"")))"&amp;")"),"Grace Webster")</f>
        <v>Grace Webster</v>
      </c>
    </row>
    <row r="139">
      <c r="A139" s="118">
        <f t="shared" si="2"/>
        <v>46079</v>
      </c>
      <c r="B139" s="119">
        <f>IFERROR(__xludf.DUMMYFUNCTION("COUNTIFS(MAP(FILTER($H$1:$K$1, $H$1:$K$1 &lt;&gt; """"), LAMBDA(player, IFNA(INDEX(Availability!$A:$AAA, MATCH($A139, Availability!$A:$A, 0), MATCH(player, Availability!$1:$1, 0))))), ""X"") + COUNTIFS(MAP(FILTER($H$1:$K$1, $H$1:$K$1 &lt;&gt; """"), LAMBDA(player, IF"&amp;"NA(INDEX(Availability!$A:$AAA, MATCH($A139, Availability!$A:$A, 0), MATCH(player, Availability!$1:$1, 0))))), ""U"") + COUNTIFS(MAP(FILTER($H$1:$K$1, $H$1:$K$1 &lt;&gt; """"), LAMBDA(player, IFNA(INDEX(Availability!$A:$AAA, MATCH($A139, Availability!$A:$A, 0), "&amp;"MATCH(player, Availability!$1:$1, 0))))), ""R"")"),1.0)</f>
        <v>1</v>
      </c>
      <c r="C139" s="120">
        <f t="shared" si="1"/>
        <v>0.75</v>
      </c>
      <c r="D139" s="119" t="str">
        <f>IFERROR(__xludf.DUMMYFUNCTION("SPARKLINE(C139, {""charttype"", ""bar""; ""max"", 1; ""color1"", IF(C139 &lt; 0.5, ""red"", IF(C139 &lt; 0.75, ""orange"", ""green""))})"),"")</f>
        <v/>
      </c>
      <c r="E139" s="121" t="str">
        <f>IFERROR(__xludf.DUMMYFUNCTION("IFERROR(TEXTJOIN("", "", TRUE, FILTER(FILTER($H$1:$K$1, $H$1:$K$1 &lt;&gt; """"), (MAP(FILTER($H$1:$K$1, $H$1:$K$1 &lt;&gt; """"), LAMBDA(player, IFNA(INDEX(Availability!$A:$AAA, MATCH($A139, Availability!$A:$A, 0), MATCH(player, Availability!$1:$1, 0))))) = ""U"")))"&amp;")"),"")</f>
        <v/>
      </c>
      <c r="F139" s="121" t="str">
        <f>IFERROR(__xludf.DUMMYFUNCTION("IFERROR(TEXTJOIN("", "", TRUE, FILTER(FILTER($H$1:$K$1, $H$1:$K$1 &lt;&gt; """"), (MAP(FILTER($H$1:$K$1, $H$1:$K$1 &lt;&gt; """"), LAMBDA(player, IFNA(INDEX(Availability!$A:$AAA, MATCH($A139, Availability!$A:$A, 0), MATCH(player, Availability!$1:$1, 0))))) = ""X"")))"&amp;")"),"Grace Webster")</f>
        <v>Grace Webster</v>
      </c>
      <c r="G139" s="121" t="str">
        <f>IFERROR(__xludf.DUMMYFUNCTION("IFERROR(TEXTJOIN("", "", TRUE, FILTER(FILTER($H$1:$K$1, $H$1:$K$1 &lt;&gt; """"), (MAP(FILTER($H$1:$K$1, $H$1:$K$1 &lt;&gt; """"), LAMBDA(player, IFNA(INDEX(Availability!$A:$AAA, MATCH($A139, Availability!$A:$A, 0), MATCH(player, Availability!$1:$1, 0))))) = ""R"")))"&amp;")"),"")</f>
        <v/>
      </c>
    </row>
    <row r="140">
      <c r="A140" s="118">
        <f t="shared" si="2"/>
        <v>46080</v>
      </c>
      <c r="B140" s="119">
        <f>IFERROR(__xludf.DUMMYFUNCTION("COUNTIFS(MAP(FILTER($H$1:$K$1, $H$1:$K$1 &lt;&gt; """"), LAMBDA(player, IFNA(INDEX(Availability!$A:$AAA, MATCH($A140, Availability!$A:$A, 0), MATCH(player, Availability!$1:$1, 0))))), ""X"") + COUNTIFS(MAP(FILTER($H$1:$K$1, $H$1:$K$1 &lt;&gt; """"), LAMBDA(player, IF"&amp;"NA(INDEX(Availability!$A:$AAA, MATCH($A140, Availability!$A:$A, 0), MATCH(player, Availability!$1:$1, 0))))), ""U"") + COUNTIFS(MAP(FILTER($H$1:$K$1, $H$1:$K$1 &lt;&gt; """"), LAMBDA(player, IFNA(INDEX(Availability!$A:$AAA, MATCH($A140, Availability!$A:$A, 0), "&amp;"MATCH(player, Availability!$1:$1, 0))))), ""R"")"),2.0)</f>
        <v>2</v>
      </c>
      <c r="C140" s="120">
        <f t="shared" si="1"/>
        <v>0.5</v>
      </c>
      <c r="D140" s="119" t="str">
        <f>IFERROR(__xludf.DUMMYFUNCTION("SPARKLINE(C140, {""charttype"", ""bar""; ""max"", 1; ""color1"", IF(C140 &lt; 0.5, ""red"", IF(C140 &lt; 0.75, ""orange"", ""green""))})"),"")</f>
        <v/>
      </c>
      <c r="E140" s="121" t="str">
        <f>IFERROR(__xludf.DUMMYFUNCTION("IFERROR(TEXTJOIN("", "", TRUE, FILTER(FILTER($H$1:$K$1, $H$1:$K$1 &lt;&gt; """"), (MAP(FILTER($H$1:$K$1, $H$1:$K$1 &lt;&gt; """"), LAMBDA(player, IFNA(INDEX(Availability!$A:$AAA, MATCH($A140, Availability!$A:$A, 0), MATCH(player, Availability!$1:$1, 0))))) = ""U"")))"&amp;")"),"Robbie Frost")</f>
        <v>Robbie Frost</v>
      </c>
      <c r="F140" s="121" t="str">
        <f>IFERROR(__xludf.DUMMYFUNCTION("IFERROR(TEXTJOIN("", "", TRUE, FILTER(FILTER($H$1:$K$1, $H$1:$K$1 &lt;&gt; """"), (MAP(FILTER($H$1:$K$1, $H$1:$K$1 &lt;&gt; """"), LAMBDA(player, IFNA(INDEX(Availability!$A:$AAA, MATCH($A140, Availability!$A:$A, 0), MATCH(player, Availability!$1:$1, 0))))) = ""X"")))"&amp;")"),"")</f>
        <v/>
      </c>
      <c r="G140" s="121" t="str">
        <f>IFERROR(__xludf.DUMMYFUNCTION("IFERROR(TEXTJOIN("", "", TRUE, FILTER(FILTER($H$1:$K$1, $H$1:$K$1 &lt;&gt; """"), (MAP(FILTER($H$1:$K$1, $H$1:$K$1 &lt;&gt; """"), LAMBDA(player, IFNA(INDEX(Availability!$A:$AAA, MATCH($A140, Availability!$A:$A, 0), MATCH(player, Availability!$1:$1, 0))))) = ""R"")))"&amp;")"),"Grace Webster")</f>
        <v>Grace Webster</v>
      </c>
    </row>
    <row r="141">
      <c r="A141" s="118">
        <f t="shared" si="2"/>
        <v>46081</v>
      </c>
      <c r="B141" s="119">
        <f>IFERROR(__xludf.DUMMYFUNCTION("COUNTIFS(MAP(FILTER($H$1:$K$1, $H$1:$K$1 &lt;&gt; """"), LAMBDA(player, IFNA(INDEX(Availability!$A:$AAA, MATCH($A141, Availability!$A:$A, 0), MATCH(player, Availability!$1:$1, 0))))), ""X"") + COUNTIFS(MAP(FILTER($H$1:$K$1, $H$1:$K$1 &lt;&gt; """"), LAMBDA(player, IF"&amp;"NA(INDEX(Availability!$A:$AAA, MATCH($A141, Availability!$A:$A, 0), MATCH(player, Availability!$1:$1, 0))))), ""U"") + COUNTIFS(MAP(FILTER($H$1:$K$1, $H$1:$K$1 &lt;&gt; """"), LAMBDA(player, IFNA(INDEX(Availability!$A:$AAA, MATCH($A141, Availability!$A:$A, 0), "&amp;"MATCH(player, Availability!$1:$1, 0))))), ""R"")"),2.0)</f>
        <v>2</v>
      </c>
      <c r="C141" s="120">
        <f t="shared" si="1"/>
        <v>0.5</v>
      </c>
      <c r="D141" s="119" t="str">
        <f>IFERROR(__xludf.DUMMYFUNCTION("SPARKLINE(C141, {""charttype"", ""bar""; ""max"", 1; ""color1"", IF(C141 &lt; 0.5, ""red"", IF(C141 &lt; 0.75, ""orange"", ""green""))})"),"")</f>
        <v/>
      </c>
      <c r="E141" s="121" t="str">
        <f>IFERROR(__xludf.DUMMYFUNCTION("IFERROR(TEXTJOIN("", "", TRUE, FILTER(FILTER($H$1:$K$1, $H$1:$K$1 &lt;&gt; """"), (MAP(FILTER($H$1:$K$1, $H$1:$K$1 &lt;&gt; """"), LAMBDA(player, IFNA(INDEX(Availability!$A:$AAA, MATCH($A141, Availability!$A:$A, 0), MATCH(player, Availability!$1:$1, 0))))) = ""U"")))"&amp;")"),"Robbie Frost")</f>
        <v>Robbie Frost</v>
      </c>
      <c r="F141" s="121" t="str">
        <f>IFERROR(__xludf.DUMMYFUNCTION("IFERROR(TEXTJOIN("", "", TRUE, FILTER(FILTER($H$1:$K$1, $H$1:$K$1 &lt;&gt; """"), (MAP(FILTER($H$1:$K$1, $H$1:$K$1 &lt;&gt; """"), LAMBDA(player, IFNA(INDEX(Availability!$A:$AAA, MATCH($A141, Availability!$A:$A, 0), MATCH(player, Availability!$1:$1, 0))))) = ""X"")))"&amp;")"),"")</f>
        <v/>
      </c>
      <c r="G141" s="121" t="str">
        <f>IFERROR(__xludf.DUMMYFUNCTION("IFERROR(TEXTJOIN("", "", TRUE, FILTER(FILTER($H$1:$K$1, $H$1:$K$1 &lt;&gt; """"), (MAP(FILTER($H$1:$K$1, $H$1:$K$1 &lt;&gt; """"), LAMBDA(player, IFNA(INDEX(Availability!$A:$AAA, MATCH($A141, Availability!$A:$A, 0), MATCH(player, Availability!$1:$1, 0))))) = ""R"")))"&amp;")"),"Grace Webster")</f>
        <v>Grace Webster</v>
      </c>
    </row>
    <row r="142">
      <c r="A142" s="118">
        <f t="shared" si="2"/>
        <v>46082</v>
      </c>
      <c r="B142" s="119">
        <f>IFERROR(__xludf.DUMMYFUNCTION("COUNTIFS(MAP(FILTER($H$1:$K$1, $H$1:$K$1 &lt;&gt; """"), LAMBDA(player, IFNA(INDEX(Availability!$A:$AAA, MATCH($A142, Availability!$A:$A, 0), MATCH(player, Availability!$1:$1, 0))))), ""X"") + COUNTIFS(MAP(FILTER($H$1:$K$1, $H$1:$K$1 &lt;&gt; """"), LAMBDA(player, IF"&amp;"NA(INDEX(Availability!$A:$AAA, MATCH($A142, Availability!$A:$A, 0), MATCH(player, Availability!$1:$1, 0))))), ""U"") + COUNTIFS(MAP(FILTER($H$1:$K$1, $H$1:$K$1 &lt;&gt; """"), LAMBDA(player, IFNA(INDEX(Availability!$A:$AAA, MATCH($A142, Availability!$A:$A, 0), "&amp;"MATCH(player, Availability!$1:$1, 0))))), ""R"")"),1.0)</f>
        <v>1</v>
      </c>
      <c r="C142" s="120">
        <f t="shared" si="1"/>
        <v>0.75</v>
      </c>
      <c r="D142" s="119" t="str">
        <f>IFERROR(__xludf.DUMMYFUNCTION("SPARKLINE(C142, {""charttype"", ""bar""; ""max"", 1; ""color1"", IF(C142 &lt; 0.5, ""red"", IF(C142 &lt; 0.75, ""orange"", ""green""))})"),"")</f>
        <v/>
      </c>
      <c r="E142" s="121" t="str">
        <f>IFERROR(__xludf.DUMMYFUNCTION("IFERROR(TEXTJOIN("", "", TRUE, FILTER(FILTER($H$1:$K$1, $H$1:$K$1 &lt;&gt; """"), (MAP(FILTER($H$1:$K$1, $H$1:$K$1 &lt;&gt; """"), LAMBDA(player, IFNA(INDEX(Availability!$A:$AAA, MATCH($A142, Availability!$A:$A, 0), MATCH(player, Availability!$1:$1, 0))))) = ""U"")))"&amp;")"),"Robbie Frost")</f>
        <v>Robbie Frost</v>
      </c>
      <c r="F142" s="121" t="str">
        <f>IFERROR(__xludf.DUMMYFUNCTION("IFERROR(TEXTJOIN("", "", TRUE, FILTER(FILTER($H$1:$K$1, $H$1:$K$1 &lt;&gt; """"), (MAP(FILTER($H$1:$K$1, $H$1:$K$1 &lt;&gt; """"), LAMBDA(player, IFNA(INDEX(Availability!$A:$AAA, MATCH($A142, Availability!$A:$A, 0), MATCH(player, Availability!$1:$1, 0))))) = ""X"")))"&amp;")"),"")</f>
        <v/>
      </c>
      <c r="G142" s="121" t="str">
        <f>IFERROR(__xludf.DUMMYFUNCTION("IFERROR(TEXTJOIN("", "", TRUE, FILTER(FILTER($H$1:$K$1, $H$1:$K$1 &lt;&gt; """"), (MAP(FILTER($H$1:$K$1, $H$1:$K$1 &lt;&gt; """"), LAMBDA(player, IFNA(INDEX(Availability!$A:$AAA, MATCH($A142, Availability!$A:$A, 0), MATCH(player, Availability!$1:$1, 0))))) = ""R"")))"&amp;")"),"")</f>
        <v/>
      </c>
    </row>
    <row r="143">
      <c r="A143" s="118">
        <f t="shared" si="2"/>
        <v>46083</v>
      </c>
      <c r="B143" s="119">
        <f>IFERROR(__xludf.DUMMYFUNCTION("COUNTIFS(MAP(FILTER($H$1:$K$1, $H$1:$K$1 &lt;&gt; """"), LAMBDA(player, IFNA(INDEX(Availability!$A:$AAA, MATCH($A143, Availability!$A:$A, 0), MATCH(player, Availability!$1:$1, 0))))), ""X"") + COUNTIFS(MAP(FILTER($H$1:$K$1, $H$1:$K$1 &lt;&gt; """"), LAMBDA(player, IF"&amp;"NA(INDEX(Availability!$A:$AAA, MATCH($A143, Availability!$A:$A, 0), MATCH(player, Availability!$1:$1, 0))))), ""U"") + COUNTIFS(MAP(FILTER($H$1:$K$1, $H$1:$K$1 &lt;&gt; """"), LAMBDA(player, IFNA(INDEX(Availability!$A:$AAA, MATCH($A143, Availability!$A:$A, 0), "&amp;"MATCH(player, Availability!$1:$1, 0))))), ""R"")"),0.0)</f>
        <v>0</v>
      </c>
      <c r="C143" s="120">
        <f t="shared" si="1"/>
        <v>1</v>
      </c>
      <c r="D143" s="119" t="str">
        <f>IFERROR(__xludf.DUMMYFUNCTION("SPARKLINE(C143, {""charttype"", ""bar""; ""max"", 1; ""color1"", IF(C143 &lt; 0.5, ""red"", IF(C143 &lt; 0.75, ""orange"", ""green""))})"),"")</f>
        <v/>
      </c>
      <c r="E143" s="121" t="str">
        <f>IFERROR(__xludf.DUMMYFUNCTION("IFERROR(TEXTJOIN("", "", TRUE, FILTER(FILTER($H$1:$K$1, $H$1:$K$1 &lt;&gt; """"), (MAP(FILTER($H$1:$K$1, $H$1:$K$1 &lt;&gt; """"), LAMBDA(player, IFNA(INDEX(Availability!$A:$AAA, MATCH($A143, Availability!$A:$A, 0), MATCH(player, Availability!$1:$1, 0))))) = ""U"")))"&amp;")"),"")</f>
        <v/>
      </c>
      <c r="F143" s="121" t="str">
        <f>IFERROR(__xludf.DUMMYFUNCTION("IFERROR(TEXTJOIN("", "", TRUE, FILTER(FILTER($H$1:$K$1, $H$1:$K$1 &lt;&gt; """"), (MAP(FILTER($H$1:$K$1, $H$1:$K$1 &lt;&gt; """"), LAMBDA(player, IFNA(INDEX(Availability!$A:$AAA, MATCH($A143, Availability!$A:$A, 0), MATCH(player, Availability!$1:$1, 0))))) = ""X"")))"&amp;")"),"")</f>
        <v/>
      </c>
      <c r="G143" s="121" t="str">
        <f>IFERROR(__xludf.DUMMYFUNCTION("IFERROR(TEXTJOIN("", "", TRUE, FILTER(FILTER($H$1:$K$1, $H$1:$K$1 &lt;&gt; """"), (MAP(FILTER($H$1:$K$1, $H$1:$K$1 &lt;&gt; """"), LAMBDA(player, IFNA(INDEX(Availability!$A:$AAA, MATCH($A143, Availability!$A:$A, 0), MATCH(player, Availability!$1:$1, 0))))) = ""R"")))"&amp;")"),"")</f>
        <v/>
      </c>
    </row>
    <row r="144">
      <c r="A144" s="118">
        <f t="shared" si="2"/>
        <v>46084</v>
      </c>
      <c r="B144" s="119">
        <f>IFERROR(__xludf.DUMMYFUNCTION("COUNTIFS(MAP(FILTER($H$1:$K$1, $H$1:$K$1 &lt;&gt; """"), LAMBDA(player, IFNA(INDEX(Availability!$A:$AAA, MATCH($A144, Availability!$A:$A, 0), MATCH(player, Availability!$1:$1, 0))))), ""X"") + COUNTIFS(MAP(FILTER($H$1:$K$1, $H$1:$K$1 &lt;&gt; """"), LAMBDA(player, IF"&amp;"NA(INDEX(Availability!$A:$AAA, MATCH($A144, Availability!$A:$A, 0), MATCH(player, Availability!$1:$1, 0))))), ""U"") + COUNTIFS(MAP(FILTER($H$1:$K$1, $H$1:$K$1 &lt;&gt; """"), LAMBDA(player, IFNA(INDEX(Availability!$A:$AAA, MATCH($A144, Availability!$A:$A, 0), "&amp;"MATCH(player, Availability!$1:$1, 0))))), ""R"")"),4.0)</f>
        <v>4</v>
      </c>
      <c r="C144" s="120">
        <f t="shared" si="1"/>
        <v>0</v>
      </c>
      <c r="D144" s="119" t="str">
        <f>IFERROR(__xludf.DUMMYFUNCTION("SPARKLINE(C144, {""charttype"", ""bar""; ""max"", 1; ""color1"", IF(C144 &lt; 0.5, ""red"", IF(C144 &lt; 0.75, ""orange"", ""green""))})"),"")</f>
        <v/>
      </c>
      <c r="E144" s="121" t="str">
        <f>IFERROR(__xludf.DUMMYFUNCTION("IFERROR(TEXTJOIN("", "", TRUE, FILTER(FILTER($H$1:$K$1, $H$1:$K$1 &lt;&gt; """"), (MAP(FILTER($H$1:$K$1, $H$1:$K$1 &lt;&gt; """"), LAMBDA(player, IFNA(INDEX(Availability!$A:$AAA, MATCH($A144, Availability!$A:$A, 0), MATCH(player, Availability!$1:$1, 0))))) = ""U"")))"&amp;")"),"")</f>
        <v/>
      </c>
      <c r="F144" s="121" t="str">
        <f>IFERROR(__xludf.DUMMYFUNCTION("IFERROR(TEXTJOIN("", "", TRUE, FILTER(FILTER($H$1:$K$1, $H$1:$K$1 &lt;&gt; """"), (MAP(FILTER($H$1:$K$1, $H$1:$K$1 &lt;&gt; """"), LAMBDA(player, IFNA(INDEX(Availability!$A:$AAA, MATCH($A144, Availability!$A:$A, 0), MATCH(player, Availability!$1:$1, 0))))) = ""X"")))"&amp;")"),"")</f>
        <v/>
      </c>
      <c r="G144" s="121" t="str">
        <f>IFERROR(__xludf.DUMMYFUNCTION("IFERROR(TEXTJOIN("", "", TRUE, FILTER(FILTER($H$1:$K$1, $H$1:$K$1 &lt;&gt; """"), (MAP(FILTER($H$1:$K$1, $H$1:$K$1 &lt;&gt; """"), LAMBDA(player, IFNA(INDEX(Availability!$A:$AAA, MATCH($A144, Availability!$A:$A, 0), MATCH(player, Availability!$1:$1, 0))))) = ""R"")))"&amp;")"),"Nejc Ceplak, Robbie Frost, Kate Frost, Grace Webster")</f>
        <v>Nejc Ceplak, Robbie Frost, Kate Frost, Grace Webster</v>
      </c>
    </row>
    <row r="145">
      <c r="A145" s="118">
        <f t="shared" si="2"/>
        <v>46085</v>
      </c>
      <c r="B145" s="119">
        <f>IFERROR(__xludf.DUMMYFUNCTION("COUNTIFS(MAP(FILTER($H$1:$K$1, $H$1:$K$1 &lt;&gt; """"), LAMBDA(player, IFNA(INDEX(Availability!$A:$AAA, MATCH($A145, Availability!$A:$A, 0), MATCH(player, Availability!$1:$1, 0))))), ""X"") + COUNTIFS(MAP(FILTER($H$1:$K$1, $H$1:$K$1 &lt;&gt; """"), LAMBDA(player, IF"&amp;"NA(INDEX(Availability!$A:$AAA, MATCH($A145, Availability!$A:$A, 0), MATCH(player, Availability!$1:$1, 0))))), ""U"") + COUNTIFS(MAP(FILTER($H$1:$K$1, $H$1:$K$1 &lt;&gt; """"), LAMBDA(player, IFNA(INDEX(Availability!$A:$AAA, MATCH($A145, Availability!$A:$A, 0), "&amp;"MATCH(player, Availability!$1:$1, 0))))), ""R"")"),4.0)</f>
        <v>4</v>
      </c>
      <c r="C145" s="120">
        <f t="shared" si="1"/>
        <v>0</v>
      </c>
      <c r="D145" s="119" t="str">
        <f>IFERROR(__xludf.DUMMYFUNCTION("SPARKLINE(C145, {""charttype"", ""bar""; ""max"", 1; ""color1"", IF(C145 &lt; 0.5, ""red"", IF(C145 &lt; 0.75, ""orange"", ""green""))})"),"")</f>
        <v/>
      </c>
      <c r="E145" s="121" t="str">
        <f>IFERROR(__xludf.DUMMYFUNCTION("IFERROR(TEXTJOIN("", "", TRUE, FILTER(FILTER($H$1:$K$1, $H$1:$K$1 &lt;&gt; """"), (MAP(FILTER($H$1:$K$1, $H$1:$K$1 &lt;&gt; """"), LAMBDA(player, IFNA(INDEX(Availability!$A:$AAA, MATCH($A145, Availability!$A:$A, 0), MATCH(player, Availability!$1:$1, 0))))) = ""U"")))"&amp;")"),"")</f>
        <v/>
      </c>
      <c r="F145" s="121" t="str">
        <f>IFERROR(__xludf.DUMMYFUNCTION("IFERROR(TEXTJOIN("", "", TRUE, FILTER(FILTER($H$1:$K$1, $H$1:$K$1 &lt;&gt; """"), (MAP(FILTER($H$1:$K$1, $H$1:$K$1 &lt;&gt; """"), LAMBDA(player, IFNA(INDEX(Availability!$A:$AAA, MATCH($A145, Availability!$A:$A, 0), MATCH(player, Availability!$1:$1, 0))))) = ""X"")))"&amp;")"),"")</f>
        <v/>
      </c>
      <c r="G145" s="121" t="str">
        <f>IFERROR(__xludf.DUMMYFUNCTION("IFERROR(TEXTJOIN("", "", TRUE, FILTER(FILTER($H$1:$K$1, $H$1:$K$1 &lt;&gt; """"), (MAP(FILTER($H$1:$K$1, $H$1:$K$1 &lt;&gt; """"), LAMBDA(player, IFNA(INDEX(Availability!$A:$AAA, MATCH($A145, Availability!$A:$A, 0), MATCH(player, Availability!$1:$1, 0))))) = ""R"")))"&amp;")"),"Nejc Ceplak, Robbie Frost, Kate Frost, Grace Webster")</f>
        <v>Nejc Ceplak, Robbie Frost, Kate Frost, Grace Webster</v>
      </c>
    </row>
    <row r="146">
      <c r="A146" s="118">
        <f t="shared" si="2"/>
        <v>46086</v>
      </c>
      <c r="B146" s="119">
        <f>IFERROR(__xludf.DUMMYFUNCTION("COUNTIFS(MAP(FILTER($H$1:$K$1, $H$1:$K$1 &lt;&gt; """"), LAMBDA(player, IFNA(INDEX(Availability!$A:$AAA, MATCH($A146, Availability!$A:$A, 0), MATCH(player, Availability!$1:$1, 0))))), ""X"") + COUNTIFS(MAP(FILTER($H$1:$K$1, $H$1:$K$1 &lt;&gt; """"), LAMBDA(player, IF"&amp;"NA(INDEX(Availability!$A:$AAA, MATCH($A146, Availability!$A:$A, 0), MATCH(player, Availability!$1:$1, 0))))), ""U"") + COUNTIFS(MAP(FILTER($H$1:$K$1, $H$1:$K$1 &lt;&gt; """"), LAMBDA(player, IFNA(INDEX(Availability!$A:$AAA, MATCH($A146, Availability!$A:$A, 0), "&amp;"MATCH(player, Availability!$1:$1, 0))))), ""R"")"),4.0)</f>
        <v>4</v>
      </c>
      <c r="C146" s="120">
        <f t="shared" si="1"/>
        <v>0</v>
      </c>
      <c r="D146" s="119" t="str">
        <f>IFERROR(__xludf.DUMMYFUNCTION("SPARKLINE(C146, {""charttype"", ""bar""; ""max"", 1; ""color1"", IF(C146 &lt; 0.5, ""red"", IF(C146 &lt; 0.75, ""orange"", ""green""))})"),"")</f>
        <v/>
      </c>
      <c r="E146" s="121" t="str">
        <f>IFERROR(__xludf.DUMMYFUNCTION("IFERROR(TEXTJOIN("", "", TRUE, FILTER(FILTER($H$1:$K$1, $H$1:$K$1 &lt;&gt; """"), (MAP(FILTER($H$1:$K$1, $H$1:$K$1 &lt;&gt; """"), LAMBDA(player, IFNA(INDEX(Availability!$A:$AAA, MATCH($A146, Availability!$A:$A, 0), MATCH(player, Availability!$1:$1, 0))))) = ""U"")))"&amp;")"),"")</f>
        <v/>
      </c>
      <c r="F146" s="121" t="str">
        <f>IFERROR(__xludf.DUMMYFUNCTION("IFERROR(TEXTJOIN("", "", TRUE, FILTER(FILTER($H$1:$K$1, $H$1:$K$1 &lt;&gt; """"), (MAP(FILTER($H$1:$K$1, $H$1:$K$1 &lt;&gt; """"), LAMBDA(player, IFNA(INDEX(Availability!$A:$AAA, MATCH($A146, Availability!$A:$A, 0), MATCH(player, Availability!$1:$1, 0))))) = ""X"")))"&amp;")"),"Nejc Ceplak, Robbie Frost, Kate Frost, Grace Webster")</f>
        <v>Nejc Ceplak, Robbie Frost, Kate Frost, Grace Webster</v>
      </c>
      <c r="G146" s="121" t="str">
        <f>IFERROR(__xludf.DUMMYFUNCTION("IFERROR(TEXTJOIN("", "", TRUE, FILTER(FILTER($H$1:$K$1, $H$1:$K$1 &lt;&gt; """"), (MAP(FILTER($H$1:$K$1, $H$1:$K$1 &lt;&gt; """"), LAMBDA(player, IFNA(INDEX(Availability!$A:$AAA, MATCH($A146, Availability!$A:$A, 0), MATCH(player, Availability!$1:$1, 0))))) = ""R"")))"&amp;")"),"")</f>
        <v/>
      </c>
    </row>
    <row r="147">
      <c r="A147" s="118">
        <f t="shared" si="2"/>
        <v>46087</v>
      </c>
      <c r="B147" s="119">
        <f>IFERROR(__xludf.DUMMYFUNCTION("COUNTIFS(MAP(FILTER($H$1:$K$1, $H$1:$K$1 &lt;&gt; """"), LAMBDA(player, IFNA(INDEX(Availability!$A:$AAA, MATCH($A147, Availability!$A:$A, 0), MATCH(player, Availability!$1:$1, 0))))), ""X"") + COUNTIFS(MAP(FILTER($H$1:$K$1, $H$1:$K$1 &lt;&gt; """"), LAMBDA(player, IF"&amp;"NA(INDEX(Availability!$A:$AAA, MATCH($A147, Availability!$A:$A, 0), MATCH(player, Availability!$1:$1, 0))))), ""U"") + COUNTIFS(MAP(FILTER($H$1:$K$1, $H$1:$K$1 &lt;&gt; """"), LAMBDA(player, IFNA(INDEX(Availability!$A:$AAA, MATCH($A147, Availability!$A:$A, 0), "&amp;"MATCH(player, Availability!$1:$1, 0))))), ""R"")"),4.0)</f>
        <v>4</v>
      </c>
      <c r="C147" s="120">
        <f t="shared" si="1"/>
        <v>0</v>
      </c>
      <c r="D147" s="119" t="str">
        <f>IFERROR(__xludf.DUMMYFUNCTION("SPARKLINE(C147, {""charttype"", ""bar""; ""max"", 1; ""color1"", IF(C147 &lt; 0.5, ""red"", IF(C147 &lt; 0.75, ""orange"", ""green""))})"),"")</f>
        <v/>
      </c>
      <c r="E147" s="121" t="str">
        <f>IFERROR(__xludf.DUMMYFUNCTION("IFERROR(TEXTJOIN("", "", TRUE, FILTER(FILTER($H$1:$K$1, $H$1:$K$1 &lt;&gt; """"), (MAP(FILTER($H$1:$K$1, $H$1:$K$1 &lt;&gt; """"), LAMBDA(player, IFNA(INDEX(Availability!$A:$AAA, MATCH($A147, Availability!$A:$A, 0), MATCH(player, Availability!$1:$1, 0))))) = ""U"")))"&amp;")"),"")</f>
        <v/>
      </c>
      <c r="F147" s="121" t="str">
        <f>IFERROR(__xludf.DUMMYFUNCTION("IFERROR(TEXTJOIN("", "", TRUE, FILTER(FILTER($H$1:$K$1, $H$1:$K$1 &lt;&gt; """"), (MAP(FILTER($H$1:$K$1, $H$1:$K$1 &lt;&gt; """"), LAMBDA(player, IFNA(INDEX(Availability!$A:$AAA, MATCH($A147, Availability!$A:$A, 0), MATCH(player, Availability!$1:$1, 0))))) = ""X"")))"&amp;")"),"")</f>
        <v/>
      </c>
      <c r="G147" s="121" t="str">
        <f>IFERROR(__xludf.DUMMYFUNCTION("IFERROR(TEXTJOIN("", "", TRUE, FILTER(FILTER($H$1:$K$1, $H$1:$K$1 &lt;&gt; """"), (MAP(FILTER($H$1:$K$1, $H$1:$K$1 &lt;&gt; """"), LAMBDA(player, IFNA(INDEX(Availability!$A:$AAA, MATCH($A147, Availability!$A:$A, 0), MATCH(player, Availability!$1:$1, 0))))) = ""R"")))"&amp;")"),"Nejc Ceplak, Robbie Frost, Kate Frost, Grace Webster")</f>
        <v>Nejc Ceplak, Robbie Frost, Kate Frost, Grace Webster</v>
      </c>
    </row>
    <row r="148">
      <c r="A148" s="118">
        <f t="shared" si="2"/>
        <v>46088</v>
      </c>
      <c r="B148" s="119">
        <f>IFERROR(__xludf.DUMMYFUNCTION("COUNTIFS(MAP(FILTER($H$1:$K$1, $H$1:$K$1 &lt;&gt; """"), LAMBDA(player, IFNA(INDEX(Availability!$A:$AAA, MATCH($A148, Availability!$A:$A, 0), MATCH(player, Availability!$1:$1, 0))))), ""X"") + COUNTIFS(MAP(FILTER($H$1:$K$1, $H$1:$K$1 &lt;&gt; """"), LAMBDA(player, IF"&amp;"NA(INDEX(Availability!$A:$AAA, MATCH($A148, Availability!$A:$A, 0), MATCH(player, Availability!$1:$1, 0))))), ""U"") + COUNTIFS(MAP(FILTER($H$1:$K$1, $H$1:$K$1 &lt;&gt; """"), LAMBDA(player, IFNA(INDEX(Availability!$A:$AAA, MATCH($A148, Availability!$A:$A, 0), "&amp;"MATCH(player, Availability!$1:$1, 0))))), ""R"")"),4.0)</f>
        <v>4</v>
      </c>
      <c r="C148" s="120">
        <f t="shared" si="1"/>
        <v>0</v>
      </c>
      <c r="D148" s="119" t="str">
        <f>IFERROR(__xludf.DUMMYFUNCTION("SPARKLINE(C148, {""charttype"", ""bar""; ""max"", 1; ""color1"", IF(C148 &lt; 0.5, ""red"", IF(C148 &lt; 0.75, ""orange"", ""green""))})"),"")</f>
        <v/>
      </c>
      <c r="E148" s="121" t="str">
        <f>IFERROR(__xludf.DUMMYFUNCTION("IFERROR(TEXTJOIN("", "", TRUE, FILTER(FILTER($H$1:$K$1, $H$1:$K$1 &lt;&gt; """"), (MAP(FILTER($H$1:$K$1, $H$1:$K$1 &lt;&gt; """"), LAMBDA(player, IFNA(INDEX(Availability!$A:$AAA, MATCH($A148, Availability!$A:$A, 0), MATCH(player, Availability!$1:$1, 0))))) = ""U"")))"&amp;")"),"")</f>
        <v/>
      </c>
      <c r="F148" s="121" t="str">
        <f>IFERROR(__xludf.DUMMYFUNCTION("IFERROR(TEXTJOIN("", "", TRUE, FILTER(FILTER($H$1:$K$1, $H$1:$K$1 &lt;&gt; """"), (MAP(FILTER($H$1:$K$1, $H$1:$K$1 &lt;&gt; """"), LAMBDA(player, IFNA(INDEX(Availability!$A:$AAA, MATCH($A148, Availability!$A:$A, 0), MATCH(player, Availability!$1:$1, 0))))) = ""X"")))"&amp;")"),"")</f>
        <v/>
      </c>
      <c r="G148" s="121" t="str">
        <f>IFERROR(__xludf.DUMMYFUNCTION("IFERROR(TEXTJOIN("", "", TRUE, FILTER(FILTER($H$1:$K$1, $H$1:$K$1 &lt;&gt; """"), (MAP(FILTER($H$1:$K$1, $H$1:$K$1 &lt;&gt; """"), LAMBDA(player, IFNA(INDEX(Availability!$A:$AAA, MATCH($A148, Availability!$A:$A, 0), MATCH(player, Availability!$1:$1, 0))))) = ""R"")))"&amp;")"),"Nejc Ceplak, Robbie Frost, Kate Frost, Grace Webster")</f>
        <v>Nejc Ceplak, Robbie Frost, Kate Frost, Grace Webster</v>
      </c>
    </row>
    <row r="149">
      <c r="A149" s="118">
        <f t="shared" si="2"/>
        <v>46089</v>
      </c>
      <c r="B149" s="119">
        <f>IFERROR(__xludf.DUMMYFUNCTION("COUNTIFS(MAP(FILTER($H$1:$K$1, $H$1:$K$1 &lt;&gt; """"), LAMBDA(player, IFNA(INDEX(Availability!$A:$AAA, MATCH($A149, Availability!$A:$A, 0), MATCH(player, Availability!$1:$1, 0))))), ""X"") + COUNTIFS(MAP(FILTER($H$1:$K$1, $H$1:$K$1 &lt;&gt; """"), LAMBDA(player, IF"&amp;"NA(INDEX(Availability!$A:$AAA, MATCH($A149, Availability!$A:$A, 0), MATCH(player, Availability!$1:$1, 0))))), ""U"") + COUNTIFS(MAP(FILTER($H$1:$K$1, $H$1:$K$1 &lt;&gt; """"), LAMBDA(player, IFNA(INDEX(Availability!$A:$AAA, MATCH($A149, Availability!$A:$A, 0), "&amp;"MATCH(player, Availability!$1:$1, 0))))), ""R"")"),0.0)</f>
        <v>0</v>
      </c>
      <c r="C149" s="120">
        <f t="shared" si="1"/>
        <v>1</v>
      </c>
      <c r="D149" s="119" t="str">
        <f>IFERROR(__xludf.DUMMYFUNCTION("SPARKLINE(C149, {""charttype"", ""bar""; ""max"", 1; ""color1"", IF(C149 &lt; 0.5, ""red"", IF(C149 &lt; 0.75, ""orange"", ""green""))})"),"")</f>
        <v/>
      </c>
      <c r="E149" s="121" t="str">
        <f>IFERROR(__xludf.DUMMYFUNCTION("IFERROR(TEXTJOIN("", "", TRUE, FILTER(FILTER($H$1:$K$1, $H$1:$K$1 &lt;&gt; """"), (MAP(FILTER($H$1:$K$1, $H$1:$K$1 &lt;&gt; """"), LAMBDA(player, IFNA(INDEX(Availability!$A:$AAA, MATCH($A149, Availability!$A:$A, 0), MATCH(player, Availability!$1:$1, 0))))) = ""U"")))"&amp;")"),"")</f>
        <v/>
      </c>
      <c r="F149" s="121" t="str">
        <f>IFERROR(__xludf.DUMMYFUNCTION("IFERROR(TEXTJOIN("", "", TRUE, FILTER(FILTER($H$1:$K$1, $H$1:$K$1 &lt;&gt; """"), (MAP(FILTER($H$1:$K$1, $H$1:$K$1 &lt;&gt; """"), LAMBDA(player, IFNA(INDEX(Availability!$A:$AAA, MATCH($A149, Availability!$A:$A, 0), MATCH(player, Availability!$1:$1, 0))))) = ""X"")))"&amp;")"),"")</f>
        <v/>
      </c>
      <c r="G149" s="121" t="str">
        <f>IFERROR(__xludf.DUMMYFUNCTION("IFERROR(TEXTJOIN("", "", TRUE, FILTER(FILTER($H$1:$K$1, $H$1:$K$1 &lt;&gt; """"), (MAP(FILTER($H$1:$K$1, $H$1:$K$1 &lt;&gt; """"), LAMBDA(player, IFNA(INDEX(Availability!$A:$AAA, MATCH($A149, Availability!$A:$A, 0), MATCH(player, Availability!$1:$1, 0))))) = ""R"")))"&amp;")"),"")</f>
        <v/>
      </c>
    </row>
    <row r="150">
      <c r="A150" s="118">
        <f t="shared" si="2"/>
        <v>46090</v>
      </c>
      <c r="B150" s="119">
        <f>IFERROR(__xludf.DUMMYFUNCTION("COUNTIFS(MAP(FILTER($H$1:$K$1, $H$1:$K$1 &lt;&gt; """"), LAMBDA(player, IFNA(INDEX(Availability!$A:$AAA, MATCH($A150, Availability!$A:$A, 0), MATCH(player, Availability!$1:$1, 0))))), ""X"") + COUNTIFS(MAP(FILTER($H$1:$K$1, $H$1:$K$1 &lt;&gt; """"), LAMBDA(player, IF"&amp;"NA(INDEX(Availability!$A:$AAA, MATCH($A150, Availability!$A:$A, 0), MATCH(player, Availability!$1:$1, 0))))), ""U"") + COUNTIFS(MAP(FILTER($H$1:$K$1, $H$1:$K$1 &lt;&gt; """"), LAMBDA(player, IFNA(INDEX(Availability!$A:$AAA, MATCH($A150, Availability!$A:$A, 0), "&amp;"MATCH(player, Availability!$1:$1, 0))))), ""R"")"),0.0)</f>
        <v>0</v>
      </c>
      <c r="C150" s="120">
        <f t="shared" si="1"/>
        <v>1</v>
      </c>
      <c r="D150" s="119" t="str">
        <f>IFERROR(__xludf.DUMMYFUNCTION("SPARKLINE(C150, {""charttype"", ""bar""; ""max"", 1; ""color1"", IF(C150 &lt; 0.5, ""red"", IF(C150 &lt; 0.75, ""orange"", ""green""))})"),"")</f>
        <v/>
      </c>
      <c r="E150" s="121" t="str">
        <f>IFERROR(__xludf.DUMMYFUNCTION("IFERROR(TEXTJOIN("", "", TRUE, FILTER(FILTER($H$1:$K$1, $H$1:$K$1 &lt;&gt; """"), (MAP(FILTER($H$1:$K$1, $H$1:$K$1 &lt;&gt; """"), LAMBDA(player, IFNA(INDEX(Availability!$A:$AAA, MATCH($A150, Availability!$A:$A, 0), MATCH(player, Availability!$1:$1, 0))))) = ""U"")))"&amp;")"),"")</f>
        <v/>
      </c>
      <c r="F150" s="121" t="str">
        <f>IFERROR(__xludf.DUMMYFUNCTION("IFERROR(TEXTJOIN("", "", TRUE, FILTER(FILTER($H$1:$K$1, $H$1:$K$1 &lt;&gt; """"), (MAP(FILTER($H$1:$K$1, $H$1:$K$1 &lt;&gt; """"), LAMBDA(player, IFNA(INDEX(Availability!$A:$AAA, MATCH($A150, Availability!$A:$A, 0), MATCH(player, Availability!$1:$1, 0))))) = ""X"")))"&amp;")"),"")</f>
        <v/>
      </c>
      <c r="G150" s="121" t="str">
        <f>IFERROR(__xludf.DUMMYFUNCTION("IFERROR(TEXTJOIN("", "", TRUE, FILTER(FILTER($H$1:$K$1, $H$1:$K$1 &lt;&gt; """"), (MAP(FILTER($H$1:$K$1, $H$1:$K$1 &lt;&gt; """"), LAMBDA(player, IFNA(INDEX(Availability!$A:$AAA, MATCH($A150, Availability!$A:$A, 0), MATCH(player, Availability!$1:$1, 0))))) = ""R"")))"&amp;")"),"")</f>
        <v/>
      </c>
    </row>
    <row r="151">
      <c r="A151" s="118">
        <f t="shared" si="2"/>
        <v>46091</v>
      </c>
      <c r="B151" s="119">
        <f>IFERROR(__xludf.DUMMYFUNCTION("COUNTIFS(MAP(FILTER($H$1:$K$1, $H$1:$K$1 &lt;&gt; """"), LAMBDA(player, IFNA(INDEX(Availability!$A:$AAA, MATCH($A151, Availability!$A:$A, 0), MATCH(player, Availability!$1:$1, 0))))), ""X"") + COUNTIFS(MAP(FILTER($H$1:$K$1, $H$1:$K$1 &lt;&gt; """"), LAMBDA(player, IF"&amp;"NA(INDEX(Availability!$A:$AAA, MATCH($A151, Availability!$A:$A, 0), MATCH(player, Availability!$1:$1, 0))))), ""U"") + COUNTIFS(MAP(FILTER($H$1:$K$1, $H$1:$K$1 &lt;&gt; """"), LAMBDA(player, IFNA(INDEX(Availability!$A:$AAA, MATCH($A151, Availability!$A:$A, 0), "&amp;"MATCH(player, Availability!$1:$1, 0))))), ""R"")"),0.0)</f>
        <v>0</v>
      </c>
      <c r="C151" s="120">
        <f t="shared" si="1"/>
        <v>1</v>
      </c>
      <c r="D151" s="119" t="str">
        <f>IFERROR(__xludf.DUMMYFUNCTION("SPARKLINE(C151, {""charttype"", ""bar""; ""max"", 1; ""color1"", IF(C151 &lt; 0.5, ""red"", IF(C151 &lt; 0.75, ""orange"", ""green""))})"),"")</f>
        <v/>
      </c>
      <c r="E151" s="121" t="str">
        <f>IFERROR(__xludf.DUMMYFUNCTION("IFERROR(TEXTJOIN("", "", TRUE, FILTER(FILTER($H$1:$K$1, $H$1:$K$1 &lt;&gt; """"), (MAP(FILTER($H$1:$K$1, $H$1:$K$1 &lt;&gt; """"), LAMBDA(player, IFNA(INDEX(Availability!$A:$AAA, MATCH($A151, Availability!$A:$A, 0), MATCH(player, Availability!$1:$1, 0))))) = ""U"")))"&amp;")"),"")</f>
        <v/>
      </c>
      <c r="F151" s="121" t="str">
        <f>IFERROR(__xludf.DUMMYFUNCTION("IFERROR(TEXTJOIN("", "", TRUE, FILTER(FILTER($H$1:$K$1, $H$1:$K$1 &lt;&gt; """"), (MAP(FILTER($H$1:$K$1, $H$1:$K$1 &lt;&gt; """"), LAMBDA(player, IFNA(INDEX(Availability!$A:$AAA, MATCH($A151, Availability!$A:$A, 0), MATCH(player, Availability!$1:$1, 0))))) = ""X"")))"&amp;")"),"")</f>
        <v/>
      </c>
      <c r="G151" s="121" t="str">
        <f>IFERROR(__xludf.DUMMYFUNCTION("IFERROR(TEXTJOIN("", "", TRUE, FILTER(FILTER($H$1:$K$1, $H$1:$K$1 &lt;&gt; """"), (MAP(FILTER($H$1:$K$1, $H$1:$K$1 &lt;&gt; """"), LAMBDA(player, IFNA(INDEX(Availability!$A:$AAA, MATCH($A151, Availability!$A:$A, 0), MATCH(player, Availability!$1:$1, 0))))) = ""R"")))"&amp;")"),"")</f>
        <v/>
      </c>
    </row>
    <row r="152">
      <c r="A152" s="118">
        <f t="shared" si="2"/>
        <v>46092</v>
      </c>
      <c r="B152" s="119">
        <f>IFERROR(__xludf.DUMMYFUNCTION("COUNTIFS(MAP(FILTER($H$1:$K$1, $H$1:$K$1 &lt;&gt; """"), LAMBDA(player, IFNA(INDEX(Availability!$A:$AAA, MATCH($A152, Availability!$A:$A, 0), MATCH(player, Availability!$1:$1, 0))))), ""X"") + COUNTIFS(MAP(FILTER($H$1:$K$1, $H$1:$K$1 &lt;&gt; """"), LAMBDA(player, IF"&amp;"NA(INDEX(Availability!$A:$AAA, MATCH($A152, Availability!$A:$A, 0), MATCH(player, Availability!$1:$1, 0))))), ""U"") + COUNTIFS(MAP(FILTER($H$1:$K$1, $H$1:$K$1 &lt;&gt; """"), LAMBDA(player, IFNA(INDEX(Availability!$A:$AAA, MATCH($A152, Availability!$A:$A, 0), "&amp;"MATCH(player, Availability!$1:$1, 0))))), ""R"")"),0.0)</f>
        <v>0</v>
      </c>
      <c r="C152" s="120">
        <f t="shared" si="1"/>
        <v>1</v>
      </c>
      <c r="D152" s="119" t="str">
        <f>IFERROR(__xludf.DUMMYFUNCTION("SPARKLINE(C152, {""charttype"", ""bar""; ""max"", 1; ""color1"", IF(C152 &lt; 0.5, ""red"", IF(C152 &lt; 0.75, ""orange"", ""green""))})"),"")</f>
        <v/>
      </c>
      <c r="E152" s="121" t="str">
        <f>IFERROR(__xludf.DUMMYFUNCTION("IFERROR(TEXTJOIN("", "", TRUE, FILTER(FILTER($H$1:$K$1, $H$1:$K$1 &lt;&gt; """"), (MAP(FILTER($H$1:$K$1, $H$1:$K$1 &lt;&gt; """"), LAMBDA(player, IFNA(INDEX(Availability!$A:$AAA, MATCH($A152, Availability!$A:$A, 0), MATCH(player, Availability!$1:$1, 0))))) = ""U"")))"&amp;")"),"")</f>
        <v/>
      </c>
      <c r="F152" s="121" t="str">
        <f>IFERROR(__xludf.DUMMYFUNCTION("IFERROR(TEXTJOIN("", "", TRUE, FILTER(FILTER($H$1:$K$1, $H$1:$K$1 &lt;&gt; """"), (MAP(FILTER($H$1:$K$1, $H$1:$K$1 &lt;&gt; """"), LAMBDA(player, IFNA(INDEX(Availability!$A:$AAA, MATCH($A152, Availability!$A:$A, 0), MATCH(player, Availability!$1:$1, 0))))) = ""X"")))"&amp;")"),"")</f>
        <v/>
      </c>
      <c r="G152" s="121" t="str">
        <f>IFERROR(__xludf.DUMMYFUNCTION("IFERROR(TEXTJOIN("", "", TRUE, FILTER(FILTER($H$1:$K$1, $H$1:$K$1 &lt;&gt; """"), (MAP(FILTER($H$1:$K$1, $H$1:$K$1 &lt;&gt; """"), LAMBDA(player, IFNA(INDEX(Availability!$A:$AAA, MATCH($A152, Availability!$A:$A, 0), MATCH(player, Availability!$1:$1, 0))))) = ""R"")))"&amp;")"),"")</f>
        <v/>
      </c>
    </row>
    <row r="153">
      <c r="A153" s="118">
        <f t="shared" si="2"/>
        <v>46093</v>
      </c>
      <c r="B153" s="119">
        <f>IFERROR(__xludf.DUMMYFUNCTION("COUNTIFS(MAP(FILTER($H$1:$K$1, $H$1:$K$1 &lt;&gt; """"), LAMBDA(player, IFNA(INDEX(Availability!$A:$AAA, MATCH($A153, Availability!$A:$A, 0), MATCH(player, Availability!$1:$1, 0))))), ""X"") + COUNTIFS(MAP(FILTER($H$1:$K$1, $H$1:$K$1 &lt;&gt; """"), LAMBDA(player, IF"&amp;"NA(INDEX(Availability!$A:$AAA, MATCH($A153, Availability!$A:$A, 0), MATCH(player, Availability!$1:$1, 0))))), ""U"") + COUNTIFS(MAP(FILTER($H$1:$K$1, $H$1:$K$1 &lt;&gt; """"), LAMBDA(player, IFNA(INDEX(Availability!$A:$AAA, MATCH($A153, Availability!$A:$A, 0), "&amp;"MATCH(player, Availability!$1:$1, 0))))), ""R"")"),0.0)</f>
        <v>0</v>
      </c>
      <c r="C153" s="120">
        <f t="shared" si="1"/>
        <v>1</v>
      </c>
      <c r="D153" s="119" t="str">
        <f>IFERROR(__xludf.DUMMYFUNCTION("SPARKLINE(C153, {""charttype"", ""bar""; ""max"", 1; ""color1"", IF(C153 &lt; 0.5, ""red"", IF(C153 &lt; 0.75, ""orange"", ""green""))})"),"")</f>
        <v/>
      </c>
      <c r="E153" s="121" t="str">
        <f>IFERROR(__xludf.DUMMYFUNCTION("IFERROR(TEXTJOIN("", "", TRUE, FILTER(FILTER($H$1:$K$1, $H$1:$K$1 &lt;&gt; """"), (MAP(FILTER($H$1:$K$1, $H$1:$K$1 &lt;&gt; """"), LAMBDA(player, IFNA(INDEX(Availability!$A:$AAA, MATCH($A153, Availability!$A:$A, 0), MATCH(player, Availability!$1:$1, 0))))) = ""U"")))"&amp;")"),"")</f>
        <v/>
      </c>
      <c r="F153" s="121" t="str">
        <f>IFERROR(__xludf.DUMMYFUNCTION("IFERROR(TEXTJOIN("", "", TRUE, FILTER(FILTER($H$1:$K$1, $H$1:$K$1 &lt;&gt; """"), (MAP(FILTER($H$1:$K$1, $H$1:$K$1 &lt;&gt; """"), LAMBDA(player, IFNA(INDEX(Availability!$A:$AAA, MATCH($A153, Availability!$A:$A, 0), MATCH(player, Availability!$1:$1, 0))))) = ""X"")))"&amp;")"),"")</f>
        <v/>
      </c>
      <c r="G153" s="121" t="str">
        <f>IFERROR(__xludf.DUMMYFUNCTION("IFERROR(TEXTJOIN("", "", TRUE, FILTER(FILTER($H$1:$K$1, $H$1:$K$1 &lt;&gt; """"), (MAP(FILTER($H$1:$K$1, $H$1:$K$1 &lt;&gt; """"), LAMBDA(player, IFNA(INDEX(Availability!$A:$AAA, MATCH($A153, Availability!$A:$A, 0), MATCH(player, Availability!$1:$1, 0))))) = ""R"")))"&amp;")"),"")</f>
        <v/>
      </c>
    </row>
    <row r="154">
      <c r="A154" s="118">
        <f t="shared" si="2"/>
        <v>46094</v>
      </c>
      <c r="B154" s="119">
        <f>IFERROR(__xludf.DUMMYFUNCTION("COUNTIFS(MAP(FILTER($H$1:$K$1, $H$1:$K$1 &lt;&gt; """"), LAMBDA(player, IFNA(INDEX(Availability!$A:$AAA, MATCH($A154, Availability!$A:$A, 0), MATCH(player, Availability!$1:$1, 0))))), ""X"") + COUNTIFS(MAP(FILTER($H$1:$K$1, $H$1:$K$1 &lt;&gt; """"), LAMBDA(player, IF"&amp;"NA(INDEX(Availability!$A:$AAA, MATCH($A154, Availability!$A:$A, 0), MATCH(player, Availability!$1:$1, 0))))), ""U"") + COUNTIFS(MAP(FILTER($H$1:$K$1, $H$1:$K$1 &lt;&gt; """"), LAMBDA(player, IFNA(INDEX(Availability!$A:$AAA, MATCH($A154, Availability!$A:$A, 0), "&amp;"MATCH(player, Availability!$1:$1, 0))))), ""R"")"),0.0)</f>
        <v>0</v>
      </c>
      <c r="C154" s="120">
        <f t="shared" si="1"/>
        <v>1</v>
      </c>
      <c r="D154" s="119" t="str">
        <f>IFERROR(__xludf.DUMMYFUNCTION("SPARKLINE(C154, {""charttype"", ""bar""; ""max"", 1; ""color1"", IF(C154 &lt; 0.5, ""red"", IF(C154 &lt; 0.75, ""orange"", ""green""))})"),"")</f>
        <v/>
      </c>
      <c r="E154" s="121" t="str">
        <f>IFERROR(__xludf.DUMMYFUNCTION("IFERROR(TEXTJOIN("", "", TRUE, FILTER(FILTER($H$1:$K$1, $H$1:$K$1 &lt;&gt; """"), (MAP(FILTER($H$1:$K$1, $H$1:$K$1 &lt;&gt; """"), LAMBDA(player, IFNA(INDEX(Availability!$A:$AAA, MATCH($A154, Availability!$A:$A, 0), MATCH(player, Availability!$1:$1, 0))))) = ""U"")))"&amp;")"),"")</f>
        <v/>
      </c>
      <c r="F154" s="121" t="str">
        <f>IFERROR(__xludf.DUMMYFUNCTION("IFERROR(TEXTJOIN("", "", TRUE, FILTER(FILTER($H$1:$K$1, $H$1:$K$1 &lt;&gt; """"), (MAP(FILTER($H$1:$K$1, $H$1:$K$1 &lt;&gt; """"), LAMBDA(player, IFNA(INDEX(Availability!$A:$AAA, MATCH($A154, Availability!$A:$A, 0), MATCH(player, Availability!$1:$1, 0))))) = ""X"")))"&amp;")"),"")</f>
        <v/>
      </c>
      <c r="G154" s="121" t="str">
        <f>IFERROR(__xludf.DUMMYFUNCTION("IFERROR(TEXTJOIN("", "", TRUE, FILTER(FILTER($H$1:$K$1, $H$1:$K$1 &lt;&gt; """"), (MAP(FILTER($H$1:$K$1, $H$1:$K$1 &lt;&gt; """"), LAMBDA(player, IFNA(INDEX(Availability!$A:$AAA, MATCH($A154, Availability!$A:$A, 0), MATCH(player, Availability!$1:$1, 0))))) = ""R"")))"&amp;")"),"")</f>
        <v/>
      </c>
    </row>
    <row r="155">
      <c r="A155" s="118">
        <f t="shared" si="2"/>
        <v>46095</v>
      </c>
      <c r="B155" s="119">
        <f>IFERROR(__xludf.DUMMYFUNCTION("COUNTIFS(MAP(FILTER($H$1:$K$1, $H$1:$K$1 &lt;&gt; """"), LAMBDA(player, IFNA(INDEX(Availability!$A:$AAA, MATCH($A155, Availability!$A:$A, 0), MATCH(player, Availability!$1:$1, 0))))), ""X"") + COUNTIFS(MAP(FILTER($H$1:$K$1, $H$1:$K$1 &lt;&gt; """"), LAMBDA(player, IF"&amp;"NA(INDEX(Availability!$A:$AAA, MATCH($A155, Availability!$A:$A, 0), MATCH(player, Availability!$1:$1, 0))))), ""U"") + COUNTIFS(MAP(FILTER($H$1:$K$1, $H$1:$K$1 &lt;&gt; """"), LAMBDA(player, IFNA(INDEX(Availability!$A:$AAA, MATCH($A155, Availability!$A:$A, 0), "&amp;"MATCH(player, Availability!$1:$1, 0))))), ""R"")"),0.0)</f>
        <v>0</v>
      </c>
      <c r="C155" s="120">
        <f t="shared" si="1"/>
        <v>1</v>
      </c>
      <c r="D155" s="119" t="str">
        <f>IFERROR(__xludf.DUMMYFUNCTION("SPARKLINE(C155, {""charttype"", ""bar""; ""max"", 1; ""color1"", IF(C155 &lt; 0.5, ""red"", IF(C155 &lt; 0.75, ""orange"", ""green""))})"),"")</f>
        <v/>
      </c>
      <c r="E155" s="121" t="str">
        <f>IFERROR(__xludf.DUMMYFUNCTION("IFERROR(TEXTJOIN("", "", TRUE, FILTER(FILTER($H$1:$K$1, $H$1:$K$1 &lt;&gt; """"), (MAP(FILTER($H$1:$K$1, $H$1:$K$1 &lt;&gt; """"), LAMBDA(player, IFNA(INDEX(Availability!$A:$AAA, MATCH($A155, Availability!$A:$A, 0), MATCH(player, Availability!$1:$1, 0))))) = ""U"")))"&amp;")"),"")</f>
        <v/>
      </c>
      <c r="F155" s="121" t="str">
        <f>IFERROR(__xludf.DUMMYFUNCTION("IFERROR(TEXTJOIN("", "", TRUE, FILTER(FILTER($H$1:$K$1, $H$1:$K$1 &lt;&gt; """"), (MAP(FILTER($H$1:$K$1, $H$1:$K$1 &lt;&gt; """"), LAMBDA(player, IFNA(INDEX(Availability!$A:$AAA, MATCH($A155, Availability!$A:$A, 0), MATCH(player, Availability!$1:$1, 0))))) = ""X"")))"&amp;")"),"")</f>
        <v/>
      </c>
      <c r="G155" s="121" t="str">
        <f>IFERROR(__xludf.DUMMYFUNCTION("IFERROR(TEXTJOIN("", "", TRUE, FILTER(FILTER($H$1:$K$1, $H$1:$K$1 &lt;&gt; """"), (MAP(FILTER($H$1:$K$1, $H$1:$K$1 &lt;&gt; """"), LAMBDA(player, IFNA(INDEX(Availability!$A:$AAA, MATCH($A155, Availability!$A:$A, 0), MATCH(player, Availability!$1:$1, 0))))) = ""R"")))"&amp;")"),"")</f>
        <v/>
      </c>
    </row>
    <row r="156">
      <c r="A156" s="118">
        <f t="shared" si="2"/>
        <v>46096</v>
      </c>
      <c r="B156" s="119">
        <f>IFERROR(__xludf.DUMMYFUNCTION("COUNTIFS(MAP(FILTER($H$1:$K$1, $H$1:$K$1 &lt;&gt; """"), LAMBDA(player, IFNA(INDEX(Availability!$A:$AAA, MATCH($A156, Availability!$A:$A, 0), MATCH(player, Availability!$1:$1, 0))))), ""X"") + COUNTIFS(MAP(FILTER($H$1:$K$1, $H$1:$K$1 &lt;&gt; """"), LAMBDA(player, IF"&amp;"NA(INDEX(Availability!$A:$AAA, MATCH($A156, Availability!$A:$A, 0), MATCH(player, Availability!$1:$1, 0))))), ""U"") + COUNTIFS(MAP(FILTER($H$1:$K$1, $H$1:$K$1 &lt;&gt; """"), LAMBDA(player, IFNA(INDEX(Availability!$A:$AAA, MATCH($A156, Availability!$A:$A, 0), "&amp;"MATCH(player, Availability!$1:$1, 0))))), ""R"")"),0.0)</f>
        <v>0</v>
      </c>
      <c r="C156" s="120">
        <f t="shared" si="1"/>
        <v>1</v>
      </c>
      <c r="D156" s="119" t="str">
        <f>IFERROR(__xludf.DUMMYFUNCTION("SPARKLINE(C156, {""charttype"", ""bar""; ""max"", 1; ""color1"", IF(C156 &lt; 0.5, ""red"", IF(C156 &lt; 0.75, ""orange"", ""green""))})"),"")</f>
        <v/>
      </c>
      <c r="E156" s="121" t="str">
        <f>IFERROR(__xludf.DUMMYFUNCTION("IFERROR(TEXTJOIN("", "", TRUE, FILTER(FILTER($H$1:$K$1, $H$1:$K$1 &lt;&gt; """"), (MAP(FILTER($H$1:$K$1, $H$1:$K$1 &lt;&gt; """"), LAMBDA(player, IFNA(INDEX(Availability!$A:$AAA, MATCH($A156, Availability!$A:$A, 0), MATCH(player, Availability!$1:$1, 0))))) = ""U"")))"&amp;")"),"")</f>
        <v/>
      </c>
      <c r="F156" s="121" t="str">
        <f>IFERROR(__xludf.DUMMYFUNCTION("IFERROR(TEXTJOIN("", "", TRUE, FILTER(FILTER($H$1:$K$1, $H$1:$K$1 &lt;&gt; """"), (MAP(FILTER($H$1:$K$1, $H$1:$K$1 &lt;&gt; """"), LAMBDA(player, IFNA(INDEX(Availability!$A:$AAA, MATCH($A156, Availability!$A:$A, 0), MATCH(player, Availability!$1:$1, 0))))) = ""X"")))"&amp;")"),"")</f>
        <v/>
      </c>
      <c r="G156" s="121" t="str">
        <f>IFERROR(__xludf.DUMMYFUNCTION("IFERROR(TEXTJOIN("", "", TRUE, FILTER(FILTER($H$1:$K$1, $H$1:$K$1 &lt;&gt; """"), (MAP(FILTER($H$1:$K$1, $H$1:$K$1 &lt;&gt; """"), LAMBDA(player, IFNA(INDEX(Availability!$A:$AAA, MATCH($A156, Availability!$A:$A, 0), MATCH(player, Availability!$1:$1, 0))))) = ""R"")))"&amp;")"),"")</f>
        <v/>
      </c>
    </row>
    <row r="157">
      <c r="A157" s="118">
        <f t="shared" si="2"/>
        <v>46097</v>
      </c>
      <c r="B157" s="119">
        <f>IFERROR(__xludf.DUMMYFUNCTION("COUNTIFS(MAP(FILTER($H$1:$K$1, $H$1:$K$1 &lt;&gt; """"), LAMBDA(player, IFNA(INDEX(Availability!$A:$AAA, MATCH($A157, Availability!$A:$A, 0), MATCH(player, Availability!$1:$1, 0))))), ""X"") + COUNTIFS(MAP(FILTER($H$1:$K$1, $H$1:$K$1 &lt;&gt; """"), LAMBDA(player, IF"&amp;"NA(INDEX(Availability!$A:$AAA, MATCH($A157, Availability!$A:$A, 0), MATCH(player, Availability!$1:$1, 0))))), ""U"") + COUNTIFS(MAP(FILTER($H$1:$K$1, $H$1:$K$1 &lt;&gt; """"), LAMBDA(player, IFNA(INDEX(Availability!$A:$AAA, MATCH($A157, Availability!$A:$A, 0), "&amp;"MATCH(player, Availability!$1:$1, 0))))), ""R"")"),0.0)</f>
        <v>0</v>
      </c>
      <c r="C157" s="120">
        <f t="shared" si="1"/>
        <v>1</v>
      </c>
      <c r="D157" s="119" t="str">
        <f>IFERROR(__xludf.DUMMYFUNCTION("SPARKLINE(C157, {""charttype"", ""bar""; ""max"", 1; ""color1"", IF(C157 &lt; 0.5, ""red"", IF(C157 &lt; 0.75, ""orange"", ""green""))})"),"")</f>
        <v/>
      </c>
      <c r="E157" s="121" t="str">
        <f>IFERROR(__xludf.DUMMYFUNCTION("IFERROR(TEXTJOIN("", "", TRUE, FILTER(FILTER($H$1:$K$1, $H$1:$K$1 &lt;&gt; """"), (MAP(FILTER($H$1:$K$1, $H$1:$K$1 &lt;&gt; """"), LAMBDA(player, IFNA(INDEX(Availability!$A:$AAA, MATCH($A157, Availability!$A:$A, 0), MATCH(player, Availability!$1:$1, 0))))) = ""U"")))"&amp;")"),"")</f>
        <v/>
      </c>
      <c r="F157" s="121" t="str">
        <f>IFERROR(__xludf.DUMMYFUNCTION("IFERROR(TEXTJOIN("", "", TRUE, FILTER(FILTER($H$1:$K$1, $H$1:$K$1 &lt;&gt; """"), (MAP(FILTER($H$1:$K$1, $H$1:$K$1 &lt;&gt; """"), LAMBDA(player, IFNA(INDEX(Availability!$A:$AAA, MATCH($A157, Availability!$A:$A, 0), MATCH(player, Availability!$1:$1, 0))))) = ""X"")))"&amp;")"),"")</f>
        <v/>
      </c>
      <c r="G157" s="121" t="str">
        <f>IFERROR(__xludf.DUMMYFUNCTION("IFERROR(TEXTJOIN("", "", TRUE, FILTER(FILTER($H$1:$K$1, $H$1:$K$1 &lt;&gt; """"), (MAP(FILTER($H$1:$K$1, $H$1:$K$1 &lt;&gt; """"), LAMBDA(player, IFNA(INDEX(Availability!$A:$AAA, MATCH($A157, Availability!$A:$A, 0), MATCH(player, Availability!$1:$1, 0))))) = ""R"")))"&amp;")"),"")</f>
        <v/>
      </c>
    </row>
    <row r="158">
      <c r="A158" s="118">
        <f t="shared" si="2"/>
        <v>46098</v>
      </c>
      <c r="B158" s="119">
        <f>IFERROR(__xludf.DUMMYFUNCTION("COUNTIFS(MAP(FILTER($H$1:$K$1, $H$1:$K$1 &lt;&gt; """"), LAMBDA(player, IFNA(INDEX(Availability!$A:$AAA, MATCH($A158, Availability!$A:$A, 0), MATCH(player, Availability!$1:$1, 0))))), ""X"") + COUNTIFS(MAP(FILTER($H$1:$K$1, $H$1:$K$1 &lt;&gt; """"), LAMBDA(player, IF"&amp;"NA(INDEX(Availability!$A:$AAA, MATCH($A158, Availability!$A:$A, 0), MATCH(player, Availability!$1:$1, 0))))), ""U"") + COUNTIFS(MAP(FILTER($H$1:$K$1, $H$1:$K$1 &lt;&gt; """"), LAMBDA(player, IFNA(INDEX(Availability!$A:$AAA, MATCH($A158, Availability!$A:$A, 0), "&amp;"MATCH(player, Availability!$1:$1, 0))))), ""R"")"),0.0)</f>
        <v>0</v>
      </c>
      <c r="C158" s="120">
        <f t="shared" si="1"/>
        <v>1</v>
      </c>
      <c r="D158" s="119" t="str">
        <f>IFERROR(__xludf.DUMMYFUNCTION("SPARKLINE(C158, {""charttype"", ""bar""; ""max"", 1; ""color1"", IF(C158 &lt; 0.5, ""red"", IF(C158 &lt; 0.75, ""orange"", ""green""))})"),"")</f>
        <v/>
      </c>
      <c r="E158" s="121" t="str">
        <f>IFERROR(__xludf.DUMMYFUNCTION("IFERROR(TEXTJOIN("", "", TRUE, FILTER(FILTER($H$1:$K$1, $H$1:$K$1 &lt;&gt; """"), (MAP(FILTER($H$1:$K$1, $H$1:$K$1 &lt;&gt; """"), LAMBDA(player, IFNA(INDEX(Availability!$A:$AAA, MATCH($A158, Availability!$A:$A, 0), MATCH(player, Availability!$1:$1, 0))))) = ""U"")))"&amp;")"),"")</f>
        <v/>
      </c>
      <c r="F158" s="121" t="str">
        <f>IFERROR(__xludf.DUMMYFUNCTION("IFERROR(TEXTJOIN("", "", TRUE, FILTER(FILTER($H$1:$K$1, $H$1:$K$1 &lt;&gt; """"), (MAP(FILTER($H$1:$K$1, $H$1:$K$1 &lt;&gt; """"), LAMBDA(player, IFNA(INDEX(Availability!$A:$AAA, MATCH($A158, Availability!$A:$A, 0), MATCH(player, Availability!$1:$1, 0))))) = ""X"")))"&amp;")"),"")</f>
        <v/>
      </c>
      <c r="G158" s="121" t="str">
        <f>IFERROR(__xludf.DUMMYFUNCTION("IFERROR(TEXTJOIN("", "", TRUE, FILTER(FILTER($H$1:$K$1, $H$1:$K$1 &lt;&gt; """"), (MAP(FILTER($H$1:$K$1, $H$1:$K$1 &lt;&gt; """"), LAMBDA(player, IFNA(INDEX(Availability!$A:$AAA, MATCH($A158, Availability!$A:$A, 0), MATCH(player, Availability!$1:$1, 0))))) = ""R"")))"&amp;")"),"")</f>
        <v/>
      </c>
    </row>
    <row r="159">
      <c r="A159" s="118">
        <f t="shared" si="2"/>
        <v>46099</v>
      </c>
      <c r="B159" s="119">
        <f>IFERROR(__xludf.DUMMYFUNCTION("COUNTIFS(MAP(FILTER($H$1:$K$1, $H$1:$K$1 &lt;&gt; """"), LAMBDA(player, IFNA(INDEX(Availability!$A:$AAA, MATCH($A159, Availability!$A:$A, 0), MATCH(player, Availability!$1:$1, 0))))), ""X"") + COUNTIFS(MAP(FILTER($H$1:$K$1, $H$1:$K$1 &lt;&gt; """"), LAMBDA(player, IF"&amp;"NA(INDEX(Availability!$A:$AAA, MATCH($A159, Availability!$A:$A, 0), MATCH(player, Availability!$1:$1, 0))))), ""U"") + COUNTIFS(MAP(FILTER($H$1:$K$1, $H$1:$K$1 &lt;&gt; """"), LAMBDA(player, IFNA(INDEX(Availability!$A:$AAA, MATCH($A159, Availability!$A:$A, 0), "&amp;"MATCH(player, Availability!$1:$1, 0))))), ""R"")"),0.0)</f>
        <v>0</v>
      </c>
      <c r="C159" s="120">
        <f t="shared" si="1"/>
        <v>1</v>
      </c>
      <c r="D159" s="119" t="str">
        <f>IFERROR(__xludf.DUMMYFUNCTION("SPARKLINE(C159, {""charttype"", ""bar""; ""max"", 1; ""color1"", IF(C159 &lt; 0.5, ""red"", IF(C159 &lt; 0.75, ""orange"", ""green""))})"),"")</f>
        <v/>
      </c>
      <c r="E159" s="121" t="str">
        <f>IFERROR(__xludf.DUMMYFUNCTION("IFERROR(TEXTJOIN("", "", TRUE, FILTER(FILTER($H$1:$K$1, $H$1:$K$1 &lt;&gt; """"), (MAP(FILTER($H$1:$K$1, $H$1:$K$1 &lt;&gt; """"), LAMBDA(player, IFNA(INDEX(Availability!$A:$AAA, MATCH($A159, Availability!$A:$A, 0), MATCH(player, Availability!$1:$1, 0))))) = ""U"")))"&amp;")"),"")</f>
        <v/>
      </c>
      <c r="F159" s="121" t="str">
        <f>IFERROR(__xludf.DUMMYFUNCTION("IFERROR(TEXTJOIN("", "", TRUE, FILTER(FILTER($H$1:$K$1, $H$1:$K$1 &lt;&gt; """"), (MAP(FILTER($H$1:$K$1, $H$1:$K$1 &lt;&gt; """"), LAMBDA(player, IFNA(INDEX(Availability!$A:$AAA, MATCH($A159, Availability!$A:$A, 0), MATCH(player, Availability!$1:$1, 0))))) = ""X"")))"&amp;")"),"")</f>
        <v/>
      </c>
      <c r="G159" s="121" t="str">
        <f>IFERROR(__xludf.DUMMYFUNCTION("IFERROR(TEXTJOIN("", "", TRUE, FILTER(FILTER($H$1:$K$1, $H$1:$K$1 &lt;&gt; """"), (MAP(FILTER($H$1:$K$1, $H$1:$K$1 &lt;&gt; """"), LAMBDA(player, IFNA(INDEX(Availability!$A:$AAA, MATCH($A159, Availability!$A:$A, 0), MATCH(player, Availability!$1:$1, 0))))) = ""R"")))"&amp;")"),"")</f>
        <v/>
      </c>
    </row>
    <row r="160">
      <c r="A160" s="118">
        <f t="shared" si="2"/>
        <v>46100</v>
      </c>
      <c r="B160" s="119">
        <f>IFERROR(__xludf.DUMMYFUNCTION("COUNTIFS(MAP(FILTER($H$1:$K$1, $H$1:$K$1 &lt;&gt; """"), LAMBDA(player, IFNA(INDEX(Availability!$A:$AAA, MATCH($A160, Availability!$A:$A, 0), MATCH(player, Availability!$1:$1, 0))))), ""X"") + COUNTIFS(MAP(FILTER($H$1:$K$1, $H$1:$K$1 &lt;&gt; """"), LAMBDA(player, IF"&amp;"NA(INDEX(Availability!$A:$AAA, MATCH($A160, Availability!$A:$A, 0), MATCH(player, Availability!$1:$1, 0))))), ""U"") + COUNTIFS(MAP(FILTER($H$1:$K$1, $H$1:$K$1 &lt;&gt; """"), LAMBDA(player, IFNA(INDEX(Availability!$A:$AAA, MATCH($A160, Availability!$A:$A, 0), "&amp;"MATCH(player, Availability!$1:$1, 0))))), ""R"")"),0.0)</f>
        <v>0</v>
      </c>
      <c r="C160" s="120">
        <f t="shared" si="1"/>
        <v>1</v>
      </c>
      <c r="D160" s="119" t="str">
        <f>IFERROR(__xludf.DUMMYFUNCTION("SPARKLINE(C160, {""charttype"", ""bar""; ""max"", 1; ""color1"", IF(C160 &lt; 0.5, ""red"", IF(C160 &lt; 0.75, ""orange"", ""green""))})"),"")</f>
        <v/>
      </c>
      <c r="E160" s="121" t="str">
        <f>IFERROR(__xludf.DUMMYFUNCTION("IFERROR(TEXTJOIN("", "", TRUE, FILTER(FILTER($H$1:$K$1, $H$1:$K$1 &lt;&gt; """"), (MAP(FILTER($H$1:$K$1, $H$1:$K$1 &lt;&gt; """"), LAMBDA(player, IFNA(INDEX(Availability!$A:$AAA, MATCH($A160, Availability!$A:$A, 0), MATCH(player, Availability!$1:$1, 0))))) = ""U"")))"&amp;")"),"")</f>
        <v/>
      </c>
      <c r="F160" s="121" t="str">
        <f>IFERROR(__xludf.DUMMYFUNCTION("IFERROR(TEXTJOIN("", "", TRUE, FILTER(FILTER($H$1:$K$1, $H$1:$K$1 &lt;&gt; """"), (MAP(FILTER($H$1:$K$1, $H$1:$K$1 &lt;&gt; """"), LAMBDA(player, IFNA(INDEX(Availability!$A:$AAA, MATCH($A160, Availability!$A:$A, 0), MATCH(player, Availability!$1:$1, 0))))) = ""X"")))"&amp;")"),"")</f>
        <v/>
      </c>
      <c r="G160" s="121" t="str">
        <f>IFERROR(__xludf.DUMMYFUNCTION("IFERROR(TEXTJOIN("", "", TRUE, FILTER(FILTER($H$1:$K$1, $H$1:$K$1 &lt;&gt; """"), (MAP(FILTER($H$1:$K$1, $H$1:$K$1 &lt;&gt; """"), LAMBDA(player, IFNA(INDEX(Availability!$A:$AAA, MATCH($A160, Availability!$A:$A, 0), MATCH(player, Availability!$1:$1, 0))))) = ""R"")))"&amp;")"),"")</f>
        <v/>
      </c>
    </row>
    <row r="161">
      <c r="A161" s="118">
        <f t="shared" si="2"/>
        <v>46101</v>
      </c>
      <c r="B161" s="119">
        <f>IFERROR(__xludf.DUMMYFUNCTION("COUNTIFS(MAP(FILTER($H$1:$K$1, $H$1:$K$1 &lt;&gt; """"), LAMBDA(player, IFNA(INDEX(Availability!$A:$AAA, MATCH($A161, Availability!$A:$A, 0), MATCH(player, Availability!$1:$1, 0))))), ""X"") + COUNTIFS(MAP(FILTER($H$1:$K$1, $H$1:$K$1 &lt;&gt; """"), LAMBDA(player, IF"&amp;"NA(INDEX(Availability!$A:$AAA, MATCH($A161, Availability!$A:$A, 0), MATCH(player, Availability!$1:$1, 0))))), ""U"") + COUNTIFS(MAP(FILTER($H$1:$K$1, $H$1:$K$1 &lt;&gt; """"), LAMBDA(player, IFNA(INDEX(Availability!$A:$AAA, MATCH($A161, Availability!$A:$A, 0), "&amp;"MATCH(player, Availability!$1:$1, 0))))), ""R"")"),0.0)</f>
        <v>0</v>
      </c>
      <c r="C161" s="120">
        <f t="shared" si="1"/>
        <v>1</v>
      </c>
      <c r="D161" s="119" t="str">
        <f>IFERROR(__xludf.DUMMYFUNCTION("SPARKLINE(C161, {""charttype"", ""bar""; ""max"", 1; ""color1"", IF(C161 &lt; 0.5, ""red"", IF(C161 &lt; 0.75, ""orange"", ""green""))})"),"")</f>
        <v/>
      </c>
      <c r="E161" s="121" t="str">
        <f>IFERROR(__xludf.DUMMYFUNCTION("IFERROR(TEXTJOIN("", "", TRUE, FILTER(FILTER($H$1:$K$1, $H$1:$K$1 &lt;&gt; """"), (MAP(FILTER($H$1:$K$1, $H$1:$K$1 &lt;&gt; """"), LAMBDA(player, IFNA(INDEX(Availability!$A:$AAA, MATCH($A161, Availability!$A:$A, 0), MATCH(player, Availability!$1:$1, 0))))) = ""U"")))"&amp;")"),"")</f>
        <v/>
      </c>
      <c r="F161" s="121" t="str">
        <f>IFERROR(__xludf.DUMMYFUNCTION("IFERROR(TEXTJOIN("", "", TRUE, FILTER(FILTER($H$1:$K$1, $H$1:$K$1 &lt;&gt; """"), (MAP(FILTER($H$1:$K$1, $H$1:$K$1 &lt;&gt; """"), LAMBDA(player, IFNA(INDEX(Availability!$A:$AAA, MATCH($A161, Availability!$A:$A, 0), MATCH(player, Availability!$1:$1, 0))))) = ""X"")))"&amp;")"),"")</f>
        <v/>
      </c>
      <c r="G161" s="121" t="str">
        <f>IFERROR(__xludf.DUMMYFUNCTION("IFERROR(TEXTJOIN("", "", TRUE, FILTER(FILTER($H$1:$K$1, $H$1:$K$1 &lt;&gt; """"), (MAP(FILTER($H$1:$K$1, $H$1:$K$1 &lt;&gt; """"), LAMBDA(player, IFNA(INDEX(Availability!$A:$AAA, MATCH($A161, Availability!$A:$A, 0), MATCH(player, Availability!$1:$1, 0))))) = ""R"")))"&amp;")"),"")</f>
        <v/>
      </c>
    </row>
    <row r="162">
      <c r="A162" s="118">
        <f t="shared" si="2"/>
        <v>46102</v>
      </c>
      <c r="B162" s="119">
        <f>IFERROR(__xludf.DUMMYFUNCTION("COUNTIFS(MAP(FILTER($H$1:$K$1, $H$1:$K$1 &lt;&gt; """"), LAMBDA(player, IFNA(INDEX(Availability!$A:$AAA, MATCH($A162, Availability!$A:$A, 0), MATCH(player, Availability!$1:$1, 0))))), ""X"") + COUNTIFS(MAP(FILTER($H$1:$K$1, $H$1:$K$1 &lt;&gt; """"), LAMBDA(player, IF"&amp;"NA(INDEX(Availability!$A:$AAA, MATCH($A162, Availability!$A:$A, 0), MATCH(player, Availability!$1:$1, 0))))), ""U"") + COUNTIFS(MAP(FILTER($H$1:$K$1, $H$1:$K$1 &lt;&gt; """"), LAMBDA(player, IFNA(INDEX(Availability!$A:$AAA, MATCH($A162, Availability!$A:$A, 0), "&amp;"MATCH(player, Availability!$1:$1, 0))))), ""R"")"),0.0)</f>
        <v>0</v>
      </c>
      <c r="C162" s="120">
        <f t="shared" si="1"/>
        <v>1</v>
      </c>
      <c r="D162" s="119" t="str">
        <f>IFERROR(__xludf.DUMMYFUNCTION("SPARKLINE(C162, {""charttype"", ""bar""; ""max"", 1; ""color1"", IF(C162 &lt; 0.5, ""red"", IF(C162 &lt; 0.75, ""orange"", ""green""))})"),"")</f>
        <v/>
      </c>
      <c r="E162" s="121" t="str">
        <f>IFERROR(__xludf.DUMMYFUNCTION("IFERROR(TEXTJOIN("", "", TRUE, FILTER(FILTER($H$1:$K$1, $H$1:$K$1 &lt;&gt; """"), (MAP(FILTER($H$1:$K$1, $H$1:$K$1 &lt;&gt; """"), LAMBDA(player, IFNA(INDEX(Availability!$A:$AAA, MATCH($A162, Availability!$A:$A, 0), MATCH(player, Availability!$1:$1, 0))))) = ""U"")))"&amp;")"),"")</f>
        <v/>
      </c>
      <c r="F162" s="121" t="str">
        <f>IFERROR(__xludf.DUMMYFUNCTION("IFERROR(TEXTJOIN("", "", TRUE, FILTER(FILTER($H$1:$K$1, $H$1:$K$1 &lt;&gt; """"), (MAP(FILTER($H$1:$K$1, $H$1:$K$1 &lt;&gt; """"), LAMBDA(player, IFNA(INDEX(Availability!$A:$AAA, MATCH($A162, Availability!$A:$A, 0), MATCH(player, Availability!$1:$1, 0))))) = ""X"")))"&amp;")"),"")</f>
        <v/>
      </c>
      <c r="G162" s="121" t="str">
        <f>IFERROR(__xludf.DUMMYFUNCTION("IFERROR(TEXTJOIN("", "", TRUE, FILTER(FILTER($H$1:$K$1, $H$1:$K$1 &lt;&gt; """"), (MAP(FILTER($H$1:$K$1, $H$1:$K$1 &lt;&gt; """"), LAMBDA(player, IFNA(INDEX(Availability!$A:$AAA, MATCH($A162, Availability!$A:$A, 0), MATCH(player, Availability!$1:$1, 0))))) = ""R"")))"&amp;")"),"")</f>
        <v/>
      </c>
    </row>
    <row r="163">
      <c r="A163" s="118">
        <f t="shared" si="2"/>
        <v>46103</v>
      </c>
      <c r="B163" s="119">
        <f>IFERROR(__xludf.DUMMYFUNCTION("COUNTIFS(MAP(FILTER($H$1:$K$1, $H$1:$K$1 &lt;&gt; """"), LAMBDA(player, IFNA(INDEX(Availability!$A:$AAA, MATCH($A163, Availability!$A:$A, 0), MATCH(player, Availability!$1:$1, 0))))), ""X"") + COUNTIFS(MAP(FILTER($H$1:$K$1, $H$1:$K$1 &lt;&gt; """"), LAMBDA(player, IF"&amp;"NA(INDEX(Availability!$A:$AAA, MATCH($A163, Availability!$A:$A, 0), MATCH(player, Availability!$1:$1, 0))))), ""U"") + COUNTIFS(MAP(FILTER($H$1:$K$1, $H$1:$K$1 &lt;&gt; """"), LAMBDA(player, IFNA(INDEX(Availability!$A:$AAA, MATCH($A163, Availability!$A:$A, 0), "&amp;"MATCH(player, Availability!$1:$1, 0))))), ""R"")"),0.0)</f>
        <v>0</v>
      </c>
      <c r="C163" s="120">
        <f t="shared" si="1"/>
        <v>1</v>
      </c>
      <c r="D163" s="119" t="str">
        <f>IFERROR(__xludf.DUMMYFUNCTION("SPARKLINE(C163, {""charttype"", ""bar""; ""max"", 1; ""color1"", IF(C163 &lt; 0.5, ""red"", IF(C163 &lt; 0.75, ""orange"", ""green""))})"),"")</f>
        <v/>
      </c>
      <c r="E163" s="121" t="str">
        <f>IFERROR(__xludf.DUMMYFUNCTION("IFERROR(TEXTJOIN("", "", TRUE, FILTER(FILTER($H$1:$K$1, $H$1:$K$1 &lt;&gt; """"), (MAP(FILTER($H$1:$K$1, $H$1:$K$1 &lt;&gt; """"), LAMBDA(player, IFNA(INDEX(Availability!$A:$AAA, MATCH($A163, Availability!$A:$A, 0), MATCH(player, Availability!$1:$1, 0))))) = ""U"")))"&amp;")"),"")</f>
        <v/>
      </c>
      <c r="F163" s="121" t="str">
        <f>IFERROR(__xludf.DUMMYFUNCTION("IFERROR(TEXTJOIN("", "", TRUE, FILTER(FILTER($H$1:$K$1, $H$1:$K$1 &lt;&gt; """"), (MAP(FILTER($H$1:$K$1, $H$1:$K$1 &lt;&gt; """"), LAMBDA(player, IFNA(INDEX(Availability!$A:$AAA, MATCH($A163, Availability!$A:$A, 0), MATCH(player, Availability!$1:$1, 0))))) = ""X"")))"&amp;")"),"")</f>
        <v/>
      </c>
      <c r="G163" s="121" t="str">
        <f>IFERROR(__xludf.DUMMYFUNCTION("IFERROR(TEXTJOIN("", "", TRUE, FILTER(FILTER($H$1:$K$1, $H$1:$K$1 &lt;&gt; """"), (MAP(FILTER($H$1:$K$1, $H$1:$K$1 &lt;&gt; """"), LAMBDA(player, IFNA(INDEX(Availability!$A:$AAA, MATCH($A163, Availability!$A:$A, 0), MATCH(player, Availability!$1:$1, 0))))) = ""R"")))"&amp;")"),"")</f>
        <v/>
      </c>
    </row>
    <row r="164">
      <c r="A164" s="118">
        <f t="shared" si="2"/>
        <v>46104</v>
      </c>
      <c r="B164" s="119">
        <f>IFERROR(__xludf.DUMMYFUNCTION("COUNTIFS(MAP(FILTER($H$1:$K$1, $H$1:$K$1 &lt;&gt; """"), LAMBDA(player, IFNA(INDEX(Availability!$A:$AAA, MATCH($A164, Availability!$A:$A, 0), MATCH(player, Availability!$1:$1, 0))))), ""X"") + COUNTIFS(MAP(FILTER($H$1:$K$1, $H$1:$K$1 &lt;&gt; """"), LAMBDA(player, IF"&amp;"NA(INDEX(Availability!$A:$AAA, MATCH($A164, Availability!$A:$A, 0), MATCH(player, Availability!$1:$1, 0))))), ""U"") + COUNTIFS(MAP(FILTER($H$1:$K$1, $H$1:$K$1 &lt;&gt; """"), LAMBDA(player, IFNA(INDEX(Availability!$A:$AAA, MATCH($A164, Availability!$A:$A, 0), "&amp;"MATCH(player, Availability!$1:$1, 0))))), ""R"")"),0.0)</f>
        <v>0</v>
      </c>
      <c r="C164" s="120">
        <f t="shared" si="1"/>
        <v>1</v>
      </c>
      <c r="D164" s="119" t="str">
        <f>IFERROR(__xludf.DUMMYFUNCTION("SPARKLINE(C164, {""charttype"", ""bar""; ""max"", 1; ""color1"", IF(C164 &lt; 0.5, ""red"", IF(C164 &lt; 0.75, ""orange"", ""green""))})"),"")</f>
        <v/>
      </c>
      <c r="E164" s="121" t="str">
        <f>IFERROR(__xludf.DUMMYFUNCTION("IFERROR(TEXTJOIN("", "", TRUE, FILTER(FILTER($H$1:$K$1, $H$1:$K$1 &lt;&gt; """"), (MAP(FILTER($H$1:$K$1, $H$1:$K$1 &lt;&gt; """"), LAMBDA(player, IFNA(INDEX(Availability!$A:$AAA, MATCH($A164, Availability!$A:$A, 0), MATCH(player, Availability!$1:$1, 0))))) = ""U"")))"&amp;")"),"")</f>
        <v/>
      </c>
      <c r="F164" s="121" t="str">
        <f>IFERROR(__xludf.DUMMYFUNCTION("IFERROR(TEXTJOIN("", "", TRUE, FILTER(FILTER($H$1:$K$1, $H$1:$K$1 &lt;&gt; """"), (MAP(FILTER($H$1:$K$1, $H$1:$K$1 &lt;&gt; """"), LAMBDA(player, IFNA(INDEX(Availability!$A:$AAA, MATCH($A164, Availability!$A:$A, 0), MATCH(player, Availability!$1:$1, 0))))) = ""X"")))"&amp;")"),"")</f>
        <v/>
      </c>
      <c r="G164" s="121" t="str">
        <f>IFERROR(__xludf.DUMMYFUNCTION("IFERROR(TEXTJOIN("", "", TRUE, FILTER(FILTER($H$1:$K$1, $H$1:$K$1 &lt;&gt; """"), (MAP(FILTER($H$1:$K$1, $H$1:$K$1 &lt;&gt; """"), LAMBDA(player, IFNA(INDEX(Availability!$A:$AAA, MATCH($A164, Availability!$A:$A, 0), MATCH(player, Availability!$1:$1, 0))))) = ""R"")))"&amp;")"),"")</f>
        <v/>
      </c>
    </row>
    <row r="165">
      <c r="A165" s="118">
        <f t="shared" si="2"/>
        <v>46105</v>
      </c>
      <c r="B165" s="119">
        <f>IFERROR(__xludf.DUMMYFUNCTION("COUNTIFS(MAP(FILTER($H$1:$K$1, $H$1:$K$1 &lt;&gt; """"), LAMBDA(player, IFNA(INDEX(Availability!$A:$AAA, MATCH($A165, Availability!$A:$A, 0), MATCH(player, Availability!$1:$1, 0))))), ""X"") + COUNTIFS(MAP(FILTER($H$1:$K$1, $H$1:$K$1 &lt;&gt; """"), LAMBDA(player, IF"&amp;"NA(INDEX(Availability!$A:$AAA, MATCH($A165, Availability!$A:$A, 0), MATCH(player, Availability!$1:$1, 0))))), ""U"") + COUNTIFS(MAP(FILTER($H$1:$K$1, $H$1:$K$1 &lt;&gt; """"), LAMBDA(player, IFNA(INDEX(Availability!$A:$AAA, MATCH($A165, Availability!$A:$A, 0), "&amp;"MATCH(player, Availability!$1:$1, 0))))), ""R"")"),0.0)</f>
        <v>0</v>
      </c>
      <c r="C165" s="120">
        <f t="shared" si="1"/>
        <v>1</v>
      </c>
      <c r="D165" s="119" t="str">
        <f>IFERROR(__xludf.DUMMYFUNCTION("SPARKLINE(C165, {""charttype"", ""bar""; ""max"", 1; ""color1"", IF(C165 &lt; 0.5, ""red"", IF(C165 &lt; 0.75, ""orange"", ""green""))})"),"")</f>
        <v/>
      </c>
      <c r="E165" s="121" t="str">
        <f>IFERROR(__xludf.DUMMYFUNCTION("IFERROR(TEXTJOIN("", "", TRUE, FILTER(FILTER($H$1:$K$1, $H$1:$K$1 &lt;&gt; """"), (MAP(FILTER($H$1:$K$1, $H$1:$K$1 &lt;&gt; """"), LAMBDA(player, IFNA(INDEX(Availability!$A:$AAA, MATCH($A165, Availability!$A:$A, 0), MATCH(player, Availability!$1:$1, 0))))) = ""U"")))"&amp;")"),"")</f>
        <v/>
      </c>
      <c r="F165" s="121" t="str">
        <f>IFERROR(__xludf.DUMMYFUNCTION("IFERROR(TEXTJOIN("", "", TRUE, FILTER(FILTER($H$1:$K$1, $H$1:$K$1 &lt;&gt; """"), (MAP(FILTER($H$1:$K$1, $H$1:$K$1 &lt;&gt; """"), LAMBDA(player, IFNA(INDEX(Availability!$A:$AAA, MATCH($A165, Availability!$A:$A, 0), MATCH(player, Availability!$1:$1, 0))))) = ""X"")))"&amp;")"),"")</f>
        <v/>
      </c>
      <c r="G165" s="121" t="str">
        <f>IFERROR(__xludf.DUMMYFUNCTION("IFERROR(TEXTJOIN("", "", TRUE, FILTER(FILTER($H$1:$K$1, $H$1:$K$1 &lt;&gt; """"), (MAP(FILTER($H$1:$K$1, $H$1:$K$1 &lt;&gt; """"), LAMBDA(player, IFNA(INDEX(Availability!$A:$AAA, MATCH($A165, Availability!$A:$A, 0), MATCH(player, Availability!$1:$1, 0))))) = ""R"")))"&amp;")"),"")</f>
        <v/>
      </c>
    </row>
    <row r="166">
      <c r="A166" s="118">
        <f t="shared" si="2"/>
        <v>46106</v>
      </c>
      <c r="B166" s="119">
        <f>IFERROR(__xludf.DUMMYFUNCTION("COUNTIFS(MAP(FILTER($H$1:$K$1, $H$1:$K$1 &lt;&gt; """"), LAMBDA(player, IFNA(INDEX(Availability!$A:$AAA, MATCH($A166, Availability!$A:$A, 0), MATCH(player, Availability!$1:$1, 0))))), ""X"") + COUNTIFS(MAP(FILTER($H$1:$K$1, $H$1:$K$1 &lt;&gt; """"), LAMBDA(player, IF"&amp;"NA(INDEX(Availability!$A:$AAA, MATCH($A166, Availability!$A:$A, 0), MATCH(player, Availability!$1:$1, 0))))), ""U"") + COUNTIFS(MAP(FILTER($H$1:$K$1, $H$1:$K$1 &lt;&gt; """"), LAMBDA(player, IFNA(INDEX(Availability!$A:$AAA, MATCH($A166, Availability!$A:$A, 0), "&amp;"MATCH(player, Availability!$1:$1, 0))))), ""R"")"),0.0)</f>
        <v>0</v>
      </c>
      <c r="C166" s="120">
        <f t="shared" si="1"/>
        <v>1</v>
      </c>
      <c r="D166" s="119" t="str">
        <f>IFERROR(__xludf.DUMMYFUNCTION("SPARKLINE(C166, {""charttype"", ""bar""; ""max"", 1; ""color1"", IF(C166 &lt; 0.5, ""red"", IF(C166 &lt; 0.75, ""orange"", ""green""))})"),"")</f>
        <v/>
      </c>
      <c r="E166" s="121" t="str">
        <f>IFERROR(__xludf.DUMMYFUNCTION("IFERROR(TEXTJOIN("", "", TRUE, FILTER(FILTER($H$1:$K$1, $H$1:$K$1 &lt;&gt; """"), (MAP(FILTER($H$1:$K$1, $H$1:$K$1 &lt;&gt; """"), LAMBDA(player, IFNA(INDEX(Availability!$A:$AAA, MATCH($A166, Availability!$A:$A, 0), MATCH(player, Availability!$1:$1, 0))))) = ""U"")))"&amp;")"),"")</f>
        <v/>
      </c>
      <c r="F166" s="121" t="str">
        <f>IFERROR(__xludf.DUMMYFUNCTION("IFERROR(TEXTJOIN("", "", TRUE, FILTER(FILTER($H$1:$K$1, $H$1:$K$1 &lt;&gt; """"), (MAP(FILTER($H$1:$K$1, $H$1:$K$1 &lt;&gt; """"), LAMBDA(player, IFNA(INDEX(Availability!$A:$AAA, MATCH($A166, Availability!$A:$A, 0), MATCH(player, Availability!$1:$1, 0))))) = ""X"")))"&amp;")"),"")</f>
        <v/>
      </c>
      <c r="G166" s="121" t="str">
        <f>IFERROR(__xludf.DUMMYFUNCTION("IFERROR(TEXTJOIN("", "", TRUE, FILTER(FILTER($H$1:$K$1, $H$1:$K$1 &lt;&gt; """"), (MAP(FILTER($H$1:$K$1, $H$1:$K$1 &lt;&gt; """"), LAMBDA(player, IFNA(INDEX(Availability!$A:$AAA, MATCH($A166, Availability!$A:$A, 0), MATCH(player, Availability!$1:$1, 0))))) = ""R"")))"&amp;")"),"")</f>
        <v/>
      </c>
    </row>
    <row r="167">
      <c r="A167" s="118">
        <f t="shared" si="2"/>
        <v>46107</v>
      </c>
      <c r="B167" s="119">
        <f>IFERROR(__xludf.DUMMYFUNCTION("COUNTIFS(MAP(FILTER($H$1:$K$1, $H$1:$K$1 &lt;&gt; """"), LAMBDA(player, IFNA(INDEX(Availability!$A:$AAA, MATCH($A167, Availability!$A:$A, 0), MATCH(player, Availability!$1:$1, 0))))), ""X"") + COUNTIFS(MAP(FILTER($H$1:$K$1, $H$1:$K$1 &lt;&gt; """"), LAMBDA(player, IF"&amp;"NA(INDEX(Availability!$A:$AAA, MATCH($A167, Availability!$A:$A, 0), MATCH(player, Availability!$1:$1, 0))))), ""U"") + COUNTIFS(MAP(FILTER($H$1:$K$1, $H$1:$K$1 &lt;&gt; """"), LAMBDA(player, IFNA(INDEX(Availability!$A:$AAA, MATCH($A167, Availability!$A:$A, 0), "&amp;"MATCH(player, Availability!$1:$1, 0))))), ""R"")"),0.0)</f>
        <v>0</v>
      </c>
      <c r="C167" s="120">
        <f t="shared" si="1"/>
        <v>1</v>
      </c>
      <c r="D167" s="119" t="str">
        <f>IFERROR(__xludf.DUMMYFUNCTION("SPARKLINE(C167, {""charttype"", ""bar""; ""max"", 1; ""color1"", IF(C167 &lt; 0.5, ""red"", IF(C167 &lt; 0.75, ""orange"", ""green""))})"),"")</f>
        <v/>
      </c>
      <c r="E167" s="121" t="str">
        <f>IFERROR(__xludf.DUMMYFUNCTION("IFERROR(TEXTJOIN("", "", TRUE, FILTER(FILTER($H$1:$K$1, $H$1:$K$1 &lt;&gt; """"), (MAP(FILTER($H$1:$K$1, $H$1:$K$1 &lt;&gt; """"), LAMBDA(player, IFNA(INDEX(Availability!$A:$AAA, MATCH($A167, Availability!$A:$A, 0), MATCH(player, Availability!$1:$1, 0))))) = ""U"")))"&amp;")"),"")</f>
        <v/>
      </c>
      <c r="F167" s="121" t="str">
        <f>IFERROR(__xludf.DUMMYFUNCTION("IFERROR(TEXTJOIN("", "", TRUE, FILTER(FILTER($H$1:$K$1, $H$1:$K$1 &lt;&gt; """"), (MAP(FILTER($H$1:$K$1, $H$1:$K$1 &lt;&gt; """"), LAMBDA(player, IFNA(INDEX(Availability!$A:$AAA, MATCH($A167, Availability!$A:$A, 0), MATCH(player, Availability!$1:$1, 0))))) = ""X"")))"&amp;")"),"")</f>
        <v/>
      </c>
      <c r="G167" s="121" t="str">
        <f>IFERROR(__xludf.DUMMYFUNCTION("IFERROR(TEXTJOIN("", "", TRUE, FILTER(FILTER($H$1:$K$1, $H$1:$K$1 &lt;&gt; """"), (MAP(FILTER($H$1:$K$1, $H$1:$K$1 &lt;&gt; """"), LAMBDA(player, IFNA(INDEX(Availability!$A:$AAA, MATCH($A167, Availability!$A:$A, 0), MATCH(player, Availability!$1:$1, 0))))) = ""R"")))"&amp;")"),"")</f>
        <v/>
      </c>
    </row>
    <row r="168">
      <c r="A168" s="118">
        <f t="shared" si="2"/>
        <v>46108</v>
      </c>
      <c r="B168" s="119">
        <f>IFERROR(__xludf.DUMMYFUNCTION("COUNTIFS(MAP(FILTER($H$1:$K$1, $H$1:$K$1 &lt;&gt; """"), LAMBDA(player, IFNA(INDEX(Availability!$A:$AAA, MATCH($A168, Availability!$A:$A, 0), MATCH(player, Availability!$1:$1, 0))))), ""X"") + COUNTIFS(MAP(FILTER($H$1:$K$1, $H$1:$K$1 &lt;&gt; """"), LAMBDA(player, IF"&amp;"NA(INDEX(Availability!$A:$AAA, MATCH($A168, Availability!$A:$A, 0), MATCH(player, Availability!$1:$1, 0))))), ""U"") + COUNTIFS(MAP(FILTER($H$1:$K$1, $H$1:$K$1 &lt;&gt; """"), LAMBDA(player, IFNA(INDEX(Availability!$A:$AAA, MATCH($A168, Availability!$A:$A, 0), "&amp;"MATCH(player, Availability!$1:$1, 0))))), ""R"")"),0.0)</f>
        <v>0</v>
      </c>
      <c r="C168" s="120">
        <f t="shared" si="1"/>
        <v>1</v>
      </c>
      <c r="D168" s="119" t="str">
        <f>IFERROR(__xludf.DUMMYFUNCTION("SPARKLINE(C168, {""charttype"", ""bar""; ""max"", 1; ""color1"", IF(C168 &lt; 0.5, ""red"", IF(C168 &lt; 0.75, ""orange"", ""green""))})"),"")</f>
        <v/>
      </c>
      <c r="E168" s="121" t="str">
        <f>IFERROR(__xludf.DUMMYFUNCTION("IFERROR(TEXTJOIN("", "", TRUE, FILTER(FILTER($H$1:$K$1, $H$1:$K$1 &lt;&gt; """"), (MAP(FILTER($H$1:$K$1, $H$1:$K$1 &lt;&gt; """"), LAMBDA(player, IFNA(INDEX(Availability!$A:$AAA, MATCH($A168, Availability!$A:$A, 0), MATCH(player, Availability!$1:$1, 0))))) = ""U"")))"&amp;")"),"")</f>
        <v/>
      </c>
      <c r="F168" s="121" t="str">
        <f>IFERROR(__xludf.DUMMYFUNCTION("IFERROR(TEXTJOIN("", "", TRUE, FILTER(FILTER($H$1:$K$1, $H$1:$K$1 &lt;&gt; """"), (MAP(FILTER($H$1:$K$1, $H$1:$K$1 &lt;&gt; """"), LAMBDA(player, IFNA(INDEX(Availability!$A:$AAA, MATCH($A168, Availability!$A:$A, 0), MATCH(player, Availability!$1:$1, 0))))) = ""X"")))"&amp;")"),"")</f>
        <v/>
      </c>
      <c r="G168" s="121" t="str">
        <f>IFERROR(__xludf.DUMMYFUNCTION("IFERROR(TEXTJOIN("", "", TRUE, FILTER(FILTER($H$1:$K$1, $H$1:$K$1 &lt;&gt; """"), (MAP(FILTER($H$1:$K$1, $H$1:$K$1 &lt;&gt; """"), LAMBDA(player, IFNA(INDEX(Availability!$A:$AAA, MATCH($A168, Availability!$A:$A, 0), MATCH(player, Availability!$1:$1, 0))))) = ""R"")))"&amp;")"),"")</f>
        <v/>
      </c>
    </row>
    <row r="169">
      <c r="A169" s="118">
        <f t="shared" si="2"/>
        <v>46109</v>
      </c>
      <c r="B169" s="119">
        <f>IFERROR(__xludf.DUMMYFUNCTION("COUNTIFS(MAP(FILTER($H$1:$K$1, $H$1:$K$1 &lt;&gt; """"), LAMBDA(player, IFNA(INDEX(Availability!$A:$AAA, MATCH($A169, Availability!$A:$A, 0), MATCH(player, Availability!$1:$1, 0))))), ""X"") + COUNTIFS(MAP(FILTER($H$1:$K$1, $H$1:$K$1 &lt;&gt; """"), LAMBDA(player, IF"&amp;"NA(INDEX(Availability!$A:$AAA, MATCH($A169, Availability!$A:$A, 0), MATCH(player, Availability!$1:$1, 0))))), ""U"") + COUNTIFS(MAP(FILTER($H$1:$K$1, $H$1:$K$1 &lt;&gt; """"), LAMBDA(player, IFNA(INDEX(Availability!$A:$AAA, MATCH($A169, Availability!$A:$A, 0), "&amp;"MATCH(player, Availability!$1:$1, 0))))), ""R"")"),4.0)</f>
        <v>4</v>
      </c>
      <c r="C169" s="120">
        <f t="shared" si="1"/>
        <v>0</v>
      </c>
      <c r="D169" s="119" t="str">
        <f>IFERROR(__xludf.DUMMYFUNCTION("SPARKLINE(C169, {""charttype"", ""bar""; ""max"", 1; ""color1"", IF(C169 &lt; 0.5, ""red"", IF(C169 &lt; 0.75, ""orange"", ""green""))})"),"")</f>
        <v/>
      </c>
      <c r="E169" s="121" t="str">
        <f>IFERROR(__xludf.DUMMYFUNCTION("IFERROR(TEXTJOIN("", "", TRUE, FILTER(FILTER($H$1:$K$1, $H$1:$K$1 &lt;&gt; """"), (MAP(FILTER($H$1:$K$1, $H$1:$K$1 &lt;&gt; """"), LAMBDA(player, IFNA(INDEX(Availability!$A:$AAA, MATCH($A169, Availability!$A:$A, 0), MATCH(player, Availability!$1:$1, 0))))) = ""U"")))"&amp;")"),"")</f>
        <v/>
      </c>
      <c r="F169" s="121" t="str">
        <f>IFERROR(__xludf.DUMMYFUNCTION("IFERROR(TEXTJOIN("", "", TRUE, FILTER(FILTER($H$1:$K$1, $H$1:$K$1 &lt;&gt; """"), (MAP(FILTER($H$1:$K$1, $H$1:$K$1 &lt;&gt; """"), LAMBDA(player, IFNA(INDEX(Availability!$A:$AAA, MATCH($A169, Availability!$A:$A, 0), MATCH(player, Availability!$1:$1, 0))))) = ""X"")))"&amp;")"),"")</f>
        <v/>
      </c>
      <c r="G169" s="121" t="str">
        <f>IFERROR(__xludf.DUMMYFUNCTION("IFERROR(TEXTJOIN("", "", TRUE, FILTER(FILTER($H$1:$K$1, $H$1:$K$1 &lt;&gt; """"), (MAP(FILTER($H$1:$K$1, $H$1:$K$1 &lt;&gt; """"), LAMBDA(player, IFNA(INDEX(Availability!$A:$AAA, MATCH($A169, Availability!$A:$A, 0), MATCH(player, Availability!$1:$1, 0))))) = ""R"")))"&amp;")"),"Nejc Ceplak, Robbie Frost, Kate Frost, Grace Webster")</f>
        <v>Nejc Ceplak, Robbie Frost, Kate Frost, Grace Webster</v>
      </c>
    </row>
    <row r="170">
      <c r="A170" s="118">
        <f t="shared" si="2"/>
        <v>46110</v>
      </c>
      <c r="B170" s="119">
        <f>IFERROR(__xludf.DUMMYFUNCTION("COUNTIFS(MAP(FILTER($H$1:$K$1, $H$1:$K$1 &lt;&gt; """"), LAMBDA(player, IFNA(INDEX(Availability!$A:$AAA, MATCH($A170, Availability!$A:$A, 0), MATCH(player, Availability!$1:$1, 0))))), ""X"") + COUNTIFS(MAP(FILTER($H$1:$K$1, $H$1:$K$1 &lt;&gt; """"), LAMBDA(player, IF"&amp;"NA(INDEX(Availability!$A:$AAA, MATCH($A170, Availability!$A:$A, 0), MATCH(player, Availability!$1:$1, 0))))), ""U"") + COUNTIFS(MAP(FILTER($H$1:$K$1, $H$1:$K$1 &lt;&gt; """"), LAMBDA(player, IFNA(INDEX(Availability!$A:$AAA, MATCH($A170, Availability!$A:$A, 0), "&amp;"MATCH(player, Availability!$1:$1, 0))))), ""R"")"),4.0)</f>
        <v>4</v>
      </c>
      <c r="C170" s="120">
        <f t="shared" si="1"/>
        <v>0</v>
      </c>
      <c r="D170" s="119" t="str">
        <f>IFERROR(__xludf.DUMMYFUNCTION("SPARKLINE(C170, {""charttype"", ""bar""; ""max"", 1; ""color1"", IF(C170 &lt; 0.5, ""red"", IF(C170 &lt; 0.75, ""orange"", ""green""))})"),"")</f>
        <v/>
      </c>
      <c r="E170" s="121" t="str">
        <f>IFERROR(__xludf.DUMMYFUNCTION("IFERROR(TEXTJOIN("", "", TRUE, FILTER(FILTER($H$1:$K$1, $H$1:$K$1 &lt;&gt; """"), (MAP(FILTER($H$1:$K$1, $H$1:$K$1 &lt;&gt; """"), LAMBDA(player, IFNA(INDEX(Availability!$A:$AAA, MATCH($A170, Availability!$A:$A, 0), MATCH(player, Availability!$1:$1, 0))))) = ""U"")))"&amp;")"),"")</f>
        <v/>
      </c>
      <c r="F170" s="121" t="str">
        <f>IFERROR(__xludf.DUMMYFUNCTION("IFERROR(TEXTJOIN("", "", TRUE, FILTER(FILTER($H$1:$K$1, $H$1:$K$1 &lt;&gt; """"), (MAP(FILTER($H$1:$K$1, $H$1:$K$1 &lt;&gt; """"), LAMBDA(player, IFNA(INDEX(Availability!$A:$AAA, MATCH($A170, Availability!$A:$A, 0), MATCH(player, Availability!$1:$1, 0))))) = ""X"")))"&amp;")"),"")</f>
        <v/>
      </c>
      <c r="G170" s="121" t="str">
        <f>IFERROR(__xludf.DUMMYFUNCTION("IFERROR(TEXTJOIN("", "", TRUE, FILTER(FILTER($H$1:$K$1, $H$1:$K$1 &lt;&gt; """"), (MAP(FILTER($H$1:$K$1, $H$1:$K$1 &lt;&gt; """"), LAMBDA(player, IFNA(INDEX(Availability!$A:$AAA, MATCH($A170, Availability!$A:$A, 0), MATCH(player, Availability!$1:$1, 0))))) = ""R"")))"&amp;")"),"Nejc Ceplak, Robbie Frost, Kate Frost, Grace Webster")</f>
        <v>Nejc Ceplak, Robbie Frost, Kate Frost, Grace Webster</v>
      </c>
    </row>
    <row r="171">
      <c r="A171" s="118">
        <f t="shared" si="2"/>
        <v>46111</v>
      </c>
      <c r="B171" s="119">
        <f>IFERROR(__xludf.DUMMYFUNCTION("COUNTIFS(MAP(FILTER($H$1:$K$1, $H$1:$K$1 &lt;&gt; """"), LAMBDA(player, IFNA(INDEX(Availability!$A:$AAA, MATCH($A171, Availability!$A:$A, 0), MATCH(player, Availability!$1:$1, 0))))), ""X"") + COUNTIFS(MAP(FILTER($H$1:$K$1, $H$1:$K$1 &lt;&gt; """"), LAMBDA(player, IF"&amp;"NA(INDEX(Availability!$A:$AAA, MATCH($A171, Availability!$A:$A, 0), MATCH(player, Availability!$1:$1, 0))))), ""U"") + COUNTIFS(MAP(FILTER($H$1:$K$1, $H$1:$K$1 &lt;&gt; """"), LAMBDA(player, IFNA(INDEX(Availability!$A:$AAA, MATCH($A171, Availability!$A:$A, 0), "&amp;"MATCH(player, Availability!$1:$1, 0))))), ""R"")"),4.0)</f>
        <v>4</v>
      </c>
      <c r="C171" s="120">
        <f t="shared" si="1"/>
        <v>0</v>
      </c>
      <c r="D171" s="119" t="str">
        <f>IFERROR(__xludf.DUMMYFUNCTION("SPARKLINE(C171, {""charttype"", ""bar""; ""max"", 1; ""color1"", IF(C171 &lt; 0.5, ""red"", IF(C171 &lt; 0.75, ""orange"", ""green""))})"),"")</f>
        <v/>
      </c>
      <c r="E171" s="121" t="str">
        <f>IFERROR(__xludf.DUMMYFUNCTION("IFERROR(TEXTJOIN("", "", TRUE, FILTER(FILTER($H$1:$K$1, $H$1:$K$1 &lt;&gt; """"), (MAP(FILTER($H$1:$K$1, $H$1:$K$1 &lt;&gt; """"), LAMBDA(player, IFNA(INDEX(Availability!$A:$AAA, MATCH($A171, Availability!$A:$A, 0), MATCH(player, Availability!$1:$1, 0))))) = ""U"")))"&amp;")"),"")</f>
        <v/>
      </c>
      <c r="F171" s="121" t="str">
        <f>IFERROR(__xludf.DUMMYFUNCTION("IFERROR(TEXTJOIN("", "", TRUE, FILTER(FILTER($H$1:$K$1, $H$1:$K$1 &lt;&gt; """"), (MAP(FILTER($H$1:$K$1, $H$1:$K$1 &lt;&gt; """"), LAMBDA(player, IFNA(INDEX(Availability!$A:$AAA, MATCH($A171, Availability!$A:$A, 0), MATCH(player, Availability!$1:$1, 0))))) = ""X"")))"&amp;")"),"Nejc Ceplak, Robbie Frost, Kate Frost, Grace Webster")</f>
        <v>Nejc Ceplak, Robbie Frost, Kate Frost, Grace Webster</v>
      </c>
      <c r="G171" s="121" t="str">
        <f>IFERROR(__xludf.DUMMYFUNCTION("IFERROR(TEXTJOIN("", "", TRUE, FILTER(FILTER($H$1:$K$1, $H$1:$K$1 &lt;&gt; """"), (MAP(FILTER($H$1:$K$1, $H$1:$K$1 &lt;&gt; """"), LAMBDA(player, IFNA(INDEX(Availability!$A:$AAA, MATCH($A171, Availability!$A:$A, 0), MATCH(player, Availability!$1:$1, 0))))) = ""R"")))"&amp;")"),"")</f>
        <v/>
      </c>
    </row>
    <row r="172">
      <c r="A172" s="118">
        <f t="shared" si="2"/>
        <v>46112</v>
      </c>
      <c r="B172" s="119">
        <f>IFERROR(__xludf.DUMMYFUNCTION("COUNTIFS(MAP(FILTER($H$1:$K$1, $H$1:$K$1 &lt;&gt; """"), LAMBDA(player, IFNA(INDEX(Availability!$A:$AAA, MATCH($A172, Availability!$A:$A, 0), MATCH(player, Availability!$1:$1, 0))))), ""X"") + COUNTIFS(MAP(FILTER($H$1:$K$1, $H$1:$K$1 &lt;&gt; """"), LAMBDA(player, IF"&amp;"NA(INDEX(Availability!$A:$AAA, MATCH($A172, Availability!$A:$A, 0), MATCH(player, Availability!$1:$1, 0))))), ""U"") + COUNTIFS(MAP(FILTER($H$1:$K$1, $H$1:$K$1 &lt;&gt; """"), LAMBDA(player, IFNA(INDEX(Availability!$A:$AAA, MATCH($A172, Availability!$A:$A, 0), "&amp;"MATCH(player, Availability!$1:$1, 0))))), ""R"")"),4.0)</f>
        <v>4</v>
      </c>
      <c r="C172" s="120">
        <f t="shared" si="1"/>
        <v>0</v>
      </c>
      <c r="D172" s="119" t="str">
        <f>IFERROR(__xludf.DUMMYFUNCTION("SPARKLINE(C172, {""charttype"", ""bar""; ""max"", 1; ""color1"", IF(C172 &lt; 0.5, ""red"", IF(C172 &lt; 0.75, ""orange"", ""green""))})"),"")</f>
        <v/>
      </c>
      <c r="E172" s="121" t="str">
        <f>IFERROR(__xludf.DUMMYFUNCTION("IFERROR(TEXTJOIN("", "", TRUE, FILTER(FILTER($H$1:$K$1, $H$1:$K$1 &lt;&gt; """"), (MAP(FILTER($H$1:$K$1, $H$1:$K$1 &lt;&gt; """"), LAMBDA(player, IFNA(INDEX(Availability!$A:$AAA, MATCH($A172, Availability!$A:$A, 0), MATCH(player, Availability!$1:$1, 0))))) = ""U"")))"&amp;")"),"")</f>
        <v/>
      </c>
      <c r="F172" s="121" t="str">
        <f>IFERROR(__xludf.DUMMYFUNCTION("IFERROR(TEXTJOIN("", "", TRUE, FILTER(FILTER($H$1:$K$1, $H$1:$K$1 &lt;&gt; """"), (MAP(FILTER($H$1:$K$1, $H$1:$K$1 &lt;&gt; """"), LAMBDA(player, IFNA(INDEX(Availability!$A:$AAA, MATCH($A172, Availability!$A:$A, 0), MATCH(player, Availability!$1:$1, 0))))) = ""X"")))"&amp;")"),"")</f>
        <v/>
      </c>
      <c r="G172" s="121" t="str">
        <f>IFERROR(__xludf.DUMMYFUNCTION("IFERROR(TEXTJOIN("", "", TRUE, FILTER(FILTER($H$1:$K$1, $H$1:$K$1 &lt;&gt; """"), (MAP(FILTER($H$1:$K$1, $H$1:$K$1 &lt;&gt; """"), LAMBDA(player, IFNA(INDEX(Availability!$A:$AAA, MATCH($A172, Availability!$A:$A, 0), MATCH(player, Availability!$1:$1, 0))))) = ""R"")))"&amp;")"),"Nejc Ceplak, Robbie Frost, Kate Frost, Grace Webster")</f>
        <v>Nejc Ceplak, Robbie Frost, Kate Frost, Grace Webster</v>
      </c>
    </row>
  </sheetData>
  <conditionalFormatting sqref="A3:A172">
    <cfRule type="expression" dxfId="0" priority="1">
      <formula>COUNTIFS(INDIRECT("Fixtures!$D$14:$D"), $A3, INDIRECT("Fixtures!$N$14:$N"), "Home") &gt;= 2</formula>
    </cfRule>
  </conditionalFormatting>
  <conditionalFormatting sqref="A3:A172">
    <cfRule type="timePeriod" dxfId="1" priority="2" timePeriod="today"/>
  </conditionalFormatting>
  <dataValidations>
    <dataValidation type="list" allowBlank="1" showErrorMessage="1" sqref="B1">
      <formula1>Teams!$B$2:$B172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88"/>
  </cols>
  <sheetData>
    <row r="1">
      <c r="A1" s="122" t="s">
        <v>154</v>
      </c>
      <c r="B1" s="122" t="s">
        <v>155</v>
      </c>
      <c r="C1" s="122" t="s">
        <v>156</v>
      </c>
      <c r="D1" s="122" t="s">
        <v>157</v>
      </c>
      <c r="E1" s="122" t="s">
        <v>158</v>
      </c>
      <c r="F1" s="122" t="s">
        <v>159</v>
      </c>
      <c r="G1" s="122" t="s">
        <v>160</v>
      </c>
      <c r="H1" s="122" t="s">
        <v>161</v>
      </c>
      <c r="I1" s="122" t="s">
        <v>162</v>
      </c>
    </row>
    <row r="2">
      <c r="A2" s="123"/>
      <c r="E2" s="124"/>
      <c r="F2" s="125"/>
      <c r="I2" s="119"/>
    </row>
    <row r="3">
      <c r="A3" s="123"/>
      <c r="E3" s="124"/>
      <c r="F3" s="125"/>
      <c r="I3" s="119"/>
    </row>
    <row r="4">
      <c r="A4" s="123"/>
      <c r="E4" s="124"/>
      <c r="F4" s="125"/>
      <c r="I4" s="119"/>
    </row>
    <row r="5">
      <c r="A5" s="123"/>
      <c r="E5" s="124"/>
      <c r="F5" s="125"/>
      <c r="I5" s="119"/>
    </row>
    <row r="6">
      <c r="I6" s="119"/>
    </row>
    <row r="7">
      <c r="I7" s="119"/>
    </row>
    <row r="8">
      <c r="I8" s="119"/>
    </row>
    <row r="9">
      <c r="I9" s="119"/>
    </row>
    <row r="10">
      <c r="I10" s="119"/>
    </row>
    <row r="11">
      <c r="I11" s="119"/>
    </row>
    <row r="12">
      <c r="I12" s="119"/>
    </row>
    <row r="13">
      <c r="I13" s="119"/>
    </row>
    <row r="14">
      <c r="I14" s="119"/>
    </row>
    <row r="15">
      <c r="I15" s="119"/>
    </row>
    <row r="16">
      <c r="I16" s="119"/>
    </row>
    <row r="17">
      <c r="I17" s="119"/>
    </row>
    <row r="18">
      <c r="I18" s="119"/>
    </row>
    <row r="19">
      <c r="I19" s="119"/>
    </row>
    <row r="20">
      <c r="I20" s="119"/>
    </row>
    <row r="21">
      <c r="I21" s="119"/>
    </row>
    <row r="22">
      <c r="I22" s="119"/>
    </row>
    <row r="23">
      <c r="I23" s="119"/>
    </row>
    <row r="24">
      <c r="I24" s="119"/>
    </row>
    <row r="25">
      <c r="I25" s="119"/>
    </row>
    <row r="26">
      <c r="I26" s="119"/>
    </row>
    <row r="27">
      <c r="I27" s="119"/>
    </row>
    <row r="28">
      <c r="I28" s="119"/>
    </row>
    <row r="29">
      <c r="I29" s="119"/>
    </row>
    <row r="30">
      <c r="I30" s="119"/>
    </row>
    <row r="31">
      <c r="I31" s="119"/>
    </row>
    <row r="32">
      <c r="I32" s="119"/>
    </row>
    <row r="33">
      <c r="I33" s="119"/>
    </row>
    <row r="34">
      <c r="I34" s="119"/>
    </row>
    <row r="35">
      <c r="I35" s="119"/>
    </row>
    <row r="36">
      <c r="I36" s="119"/>
    </row>
    <row r="37">
      <c r="I37" s="119"/>
    </row>
    <row r="38">
      <c r="I38" s="119"/>
    </row>
    <row r="39">
      <c r="I39" s="119"/>
    </row>
    <row r="40">
      <c r="I40" s="119"/>
    </row>
    <row r="41">
      <c r="I41" s="119"/>
    </row>
    <row r="42">
      <c r="I42" s="119"/>
    </row>
    <row r="43">
      <c r="I43" s="119"/>
    </row>
    <row r="44">
      <c r="I44" s="119"/>
    </row>
    <row r="45">
      <c r="I45" s="119"/>
    </row>
    <row r="46">
      <c r="I46" s="119"/>
    </row>
    <row r="47">
      <c r="I47" s="119"/>
    </row>
    <row r="48">
      <c r="I48" s="119"/>
    </row>
    <row r="49">
      <c r="I49" s="119"/>
    </row>
    <row r="50">
      <c r="I50" s="119"/>
    </row>
    <row r="51">
      <c r="I51" s="119"/>
    </row>
    <row r="52">
      <c r="I52" s="119"/>
    </row>
    <row r="53">
      <c r="I53" s="119"/>
    </row>
    <row r="54">
      <c r="I54" s="119"/>
    </row>
    <row r="55">
      <c r="I55" s="119"/>
    </row>
    <row r="56">
      <c r="I56" s="119"/>
    </row>
    <row r="57">
      <c r="I57" s="119"/>
    </row>
    <row r="58">
      <c r="I58" s="119"/>
    </row>
    <row r="59">
      <c r="I59" s="119"/>
    </row>
    <row r="60">
      <c r="I60" s="119"/>
    </row>
    <row r="61">
      <c r="I61" s="119"/>
    </row>
    <row r="62">
      <c r="I62" s="119"/>
    </row>
    <row r="63">
      <c r="I63" s="119"/>
    </row>
    <row r="64">
      <c r="I64" s="119"/>
    </row>
    <row r="65">
      <c r="I65" s="119"/>
    </row>
    <row r="66">
      <c r="I66" s="119"/>
    </row>
    <row r="67">
      <c r="I67" s="119"/>
    </row>
    <row r="68">
      <c r="I68" s="119"/>
    </row>
    <row r="69">
      <c r="I69" s="119"/>
    </row>
    <row r="70">
      <c r="I70" s="119"/>
    </row>
    <row r="71">
      <c r="I71" s="119"/>
    </row>
    <row r="72">
      <c r="I72" s="119"/>
    </row>
    <row r="73">
      <c r="I73" s="119"/>
    </row>
    <row r="74">
      <c r="I74" s="119"/>
    </row>
    <row r="75">
      <c r="I75" s="119"/>
    </row>
    <row r="76">
      <c r="I76" s="119"/>
    </row>
    <row r="77">
      <c r="I77" s="119"/>
    </row>
    <row r="78">
      <c r="I78" s="119"/>
    </row>
    <row r="79">
      <c r="I79" s="119"/>
    </row>
    <row r="80">
      <c r="I80" s="119"/>
    </row>
    <row r="81">
      <c r="I81" s="119"/>
    </row>
    <row r="82">
      <c r="I82" s="119"/>
    </row>
    <row r="83">
      <c r="I83" s="119"/>
    </row>
    <row r="84">
      <c r="I84" s="119"/>
    </row>
    <row r="85">
      <c r="I85" s="119"/>
    </row>
    <row r="86">
      <c r="I86" s="119"/>
    </row>
    <row r="87">
      <c r="I87" s="119"/>
    </row>
    <row r="88">
      <c r="I88" s="119"/>
    </row>
    <row r="89">
      <c r="I89" s="119"/>
    </row>
    <row r="90">
      <c r="I90" s="119"/>
    </row>
    <row r="91">
      <c r="I91" s="119"/>
    </row>
    <row r="92">
      <c r="I92" s="119"/>
    </row>
    <row r="93">
      <c r="I93" s="119"/>
    </row>
    <row r="94">
      <c r="I94" s="119"/>
    </row>
    <row r="95">
      <c r="I95" s="119"/>
    </row>
    <row r="96">
      <c r="I96" s="119"/>
    </row>
    <row r="97">
      <c r="I97" s="119"/>
    </row>
    <row r="98">
      <c r="I98" s="119"/>
    </row>
    <row r="99">
      <c r="I99" s="119"/>
    </row>
    <row r="100">
      <c r="I100" s="119"/>
    </row>
    <row r="101">
      <c r="I101" s="119"/>
    </row>
    <row r="102">
      <c r="I102" s="119"/>
    </row>
    <row r="103">
      <c r="I103" s="119"/>
    </row>
    <row r="104">
      <c r="I104" s="119"/>
    </row>
    <row r="105">
      <c r="I105" s="119"/>
    </row>
    <row r="106">
      <c r="I106" s="119"/>
    </row>
    <row r="107">
      <c r="I107" s="119"/>
    </row>
    <row r="108">
      <c r="I108" s="119"/>
    </row>
    <row r="109">
      <c r="I109" s="119"/>
    </row>
    <row r="110">
      <c r="I110" s="119"/>
    </row>
    <row r="111">
      <c r="I111" s="119"/>
    </row>
    <row r="112">
      <c r="I112" s="119"/>
    </row>
    <row r="113">
      <c r="I113" s="119"/>
    </row>
    <row r="114">
      <c r="I114" s="119"/>
    </row>
    <row r="115">
      <c r="I115" s="119"/>
    </row>
    <row r="116">
      <c r="I116" s="119"/>
    </row>
    <row r="117">
      <c r="I117" s="119"/>
    </row>
    <row r="118">
      <c r="I118" s="119"/>
    </row>
    <row r="119">
      <c r="I119" s="119"/>
    </row>
    <row r="120">
      <c r="I120" s="119"/>
    </row>
    <row r="121">
      <c r="I121" s="119"/>
    </row>
    <row r="122">
      <c r="I122" s="119"/>
    </row>
    <row r="123">
      <c r="I123" s="119"/>
    </row>
    <row r="124">
      <c r="I124" s="119"/>
    </row>
    <row r="125">
      <c r="I125" s="119"/>
    </row>
    <row r="126">
      <c r="I126" s="119"/>
    </row>
    <row r="127">
      <c r="I127" s="119"/>
    </row>
    <row r="128">
      <c r="I128" s="119"/>
    </row>
    <row r="129">
      <c r="I129" s="119"/>
    </row>
    <row r="130">
      <c r="I130" s="119"/>
    </row>
    <row r="131">
      <c r="I131" s="119"/>
    </row>
    <row r="132">
      <c r="I132" s="119"/>
    </row>
    <row r="133">
      <c r="I133" s="119"/>
    </row>
    <row r="134">
      <c r="I134" s="119"/>
    </row>
    <row r="135">
      <c r="I135" s="119"/>
    </row>
    <row r="136">
      <c r="I136" s="119"/>
    </row>
    <row r="137">
      <c r="I137" s="119"/>
    </row>
    <row r="138">
      <c r="I138" s="119"/>
    </row>
    <row r="139">
      <c r="I139" s="119"/>
    </row>
    <row r="140">
      <c r="I140" s="119"/>
    </row>
    <row r="141">
      <c r="I141" s="119"/>
    </row>
    <row r="142">
      <c r="I142" s="119"/>
    </row>
    <row r="143">
      <c r="I143" s="119"/>
    </row>
    <row r="144">
      <c r="I144" s="119"/>
    </row>
    <row r="145">
      <c r="I145" s="119"/>
    </row>
    <row r="146">
      <c r="I146" s="119"/>
    </row>
    <row r="147">
      <c r="I147" s="119"/>
    </row>
    <row r="148">
      <c r="I148" s="119"/>
    </row>
    <row r="149">
      <c r="I149" s="119"/>
    </row>
    <row r="150">
      <c r="I150" s="119"/>
    </row>
    <row r="151">
      <c r="I151" s="119"/>
    </row>
    <row r="152">
      <c r="I152" s="119"/>
    </row>
    <row r="153">
      <c r="I153" s="119"/>
    </row>
    <row r="154">
      <c r="I154" s="119"/>
    </row>
    <row r="155">
      <c r="I155" s="119"/>
    </row>
    <row r="156">
      <c r="I156" s="119"/>
    </row>
    <row r="157">
      <c r="I157" s="119"/>
    </row>
    <row r="158">
      <c r="I158" s="119"/>
    </row>
    <row r="159">
      <c r="I159" s="119"/>
    </row>
    <row r="160">
      <c r="I160" s="119"/>
    </row>
    <row r="161">
      <c r="I161" s="119"/>
    </row>
    <row r="162">
      <c r="I162" s="119"/>
    </row>
    <row r="163">
      <c r="I163" s="119"/>
    </row>
    <row r="164">
      <c r="I164" s="119"/>
    </row>
    <row r="165">
      <c r="I165" s="119"/>
    </row>
    <row r="166">
      <c r="I166" s="119"/>
    </row>
    <row r="167">
      <c r="I167" s="119"/>
    </row>
    <row r="168">
      <c r="I168" s="119"/>
    </row>
    <row r="169">
      <c r="I169" s="119"/>
    </row>
    <row r="170">
      <c r="I170" s="119"/>
    </row>
    <row r="171">
      <c r="I171" s="119"/>
    </row>
    <row r="172">
      <c r="I172" s="119"/>
    </row>
    <row r="173">
      <c r="I173" s="119"/>
    </row>
    <row r="174">
      <c r="I174" s="119"/>
    </row>
    <row r="175">
      <c r="I175" s="119"/>
    </row>
    <row r="176">
      <c r="I176" s="119"/>
    </row>
    <row r="177">
      <c r="I177" s="119"/>
    </row>
    <row r="178">
      <c r="I178" s="119"/>
    </row>
    <row r="179">
      <c r="I179" s="119"/>
    </row>
    <row r="180">
      <c r="I180" s="119"/>
    </row>
    <row r="181">
      <c r="I181" s="119"/>
    </row>
    <row r="182">
      <c r="I182" s="119"/>
    </row>
    <row r="183">
      <c r="I183" s="119"/>
    </row>
    <row r="184">
      <c r="I184" s="119"/>
    </row>
    <row r="185">
      <c r="I185" s="119"/>
    </row>
    <row r="186">
      <c r="I186" s="119"/>
    </row>
    <row r="187">
      <c r="I187" s="119"/>
    </row>
    <row r="188">
      <c r="I188" s="119"/>
    </row>
    <row r="189">
      <c r="I189" s="119"/>
    </row>
    <row r="190">
      <c r="I190" s="119"/>
    </row>
    <row r="191">
      <c r="I191" s="119"/>
    </row>
    <row r="192">
      <c r="I192" s="119"/>
    </row>
    <row r="193">
      <c r="I193" s="119"/>
    </row>
    <row r="194">
      <c r="I194" s="119"/>
    </row>
    <row r="195">
      <c r="I195" s="119"/>
    </row>
    <row r="196">
      <c r="I196" s="119"/>
    </row>
    <row r="197">
      <c r="I197" s="119"/>
    </row>
    <row r="198">
      <c r="I198" s="119"/>
    </row>
    <row r="199">
      <c r="I199" s="119"/>
    </row>
    <row r="200">
      <c r="I200" s="119"/>
    </row>
  </sheetData>
  <dataValidations>
    <dataValidation type="list" allowBlank="1" showErrorMessage="1" sqref="I2:I200">
      <formula1>"Pending,Confirmed,Cancelled,Rejected,Error - Court Full,Error - Player U/A,Error - Admin Locked"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88"/>
  </cols>
  <sheetData>
    <row r="1">
      <c r="A1" s="122" t="s">
        <v>154</v>
      </c>
      <c r="B1" s="122" t="s">
        <v>163</v>
      </c>
      <c r="C1" s="122" t="s">
        <v>156</v>
      </c>
      <c r="D1" s="122" t="s">
        <v>164</v>
      </c>
      <c r="E1" s="122" t="s">
        <v>158</v>
      </c>
      <c r="F1" s="122" t="s">
        <v>159</v>
      </c>
      <c r="G1" s="122" t="s">
        <v>160</v>
      </c>
      <c r="H1" s="122" t="s">
        <v>161</v>
      </c>
      <c r="I1" s="122" t="s">
        <v>165</v>
      </c>
      <c r="J1" s="122" t="s">
        <v>162</v>
      </c>
    </row>
    <row r="2">
      <c r="A2" s="123"/>
      <c r="E2" s="124"/>
      <c r="F2" s="125"/>
      <c r="J2" s="119"/>
    </row>
    <row r="3">
      <c r="A3" s="123"/>
      <c r="E3" s="124"/>
      <c r="F3" s="125"/>
      <c r="J3" s="119"/>
    </row>
    <row r="4">
      <c r="J4" s="119"/>
    </row>
    <row r="5">
      <c r="J5" s="119"/>
    </row>
    <row r="6">
      <c r="J6" s="119"/>
    </row>
    <row r="7">
      <c r="J7" s="119"/>
    </row>
    <row r="8">
      <c r="J8" s="119"/>
    </row>
    <row r="9">
      <c r="J9" s="119"/>
    </row>
    <row r="10">
      <c r="J10" s="119"/>
    </row>
    <row r="11">
      <c r="J11" s="119"/>
    </row>
    <row r="12">
      <c r="J12" s="119"/>
    </row>
    <row r="13">
      <c r="J13" s="119"/>
    </row>
    <row r="14">
      <c r="J14" s="119"/>
    </row>
    <row r="15">
      <c r="J15" s="119"/>
    </row>
    <row r="16">
      <c r="J16" s="119"/>
    </row>
    <row r="17">
      <c r="J17" s="119"/>
    </row>
    <row r="18">
      <c r="J18" s="119"/>
    </row>
    <row r="19">
      <c r="J19" s="119"/>
    </row>
    <row r="20">
      <c r="J20" s="119"/>
    </row>
    <row r="21">
      <c r="J21" s="119"/>
    </row>
    <row r="22">
      <c r="J22" s="119"/>
    </row>
    <row r="23">
      <c r="J23" s="119"/>
    </row>
    <row r="24">
      <c r="J24" s="119"/>
    </row>
    <row r="25">
      <c r="J25" s="119"/>
    </row>
    <row r="26">
      <c r="J26" s="119"/>
    </row>
    <row r="27">
      <c r="J27" s="119"/>
    </row>
    <row r="28">
      <c r="J28" s="119"/>
    </row>
    <row r="29">
      <c r="J29" s="119"/>
    </row>
    <row r="30">
      <c r="J30" s="119"/>
    </row>
    <row r="31">
      <c r="J31" s="119"/>
    </row>
    <row r="32">
      <c r="J32" s="119"/>
    </row>
    <row r="33">
      <c r="J33" s="119"/>
    </row>
    <row r="34">
      <c r="J34" s="119"/>
    </row>
    <row r="35">
      <c r="J35" s="119"/>
    </row>
    <row r="36">
      <c r="J36" s="119"/>
    </row>
    <row r="37">
      <c r="J37" s="119"/>
    </row>
    <row r="38">
      <c r="J38" s="119"/>
    </row>
    <row r="39">
      <c r="J39" s="119"/>
    </row>
    <row r="40">
      <c r="J40" s="119"/>
    </row>
    <row r="41">
      <c r="J41" s="119"/>
    </row>
    <row r="42">
      <c r="J42" s="119"/>
    </row>
    <row r="43">
      <c r="J43" s="119"/>
    </row>
    <row r="44">
      <c r="J44" s="119"/>
    </row>
    <row r="45">
      <c r="J45" s="119"/>
    </row>
    <row r="46">
      <c r="J46" s="119"/>
    </row>
    <row r="47">
      <c r="J47" s="119"/>
    </row>
    <row r="48">
      <c r="J48" s="119"/>
    </row>
    <row r="49">
      <c r="J49" s="119"/>
    </row>
    <row r="50">
      <c r="J50" s="119"/>
    </row>
    <row r="51">
      <c r="J51" s="119"/>
    </row>
    <row r="52">
      <c r="J52" s="119"/>
    </row>
    <row r="53">
      <c r="J53" s="119"/>
    </row>
    <row r="54">
      <c r="J54" s="119"/>
    </row>
    <row r="55">
      <c r="J55" s="119"/>
    </row>
    <row r="56">
      <c r="J56" s="119"/>
    </row>
    <row r="57">
      <c r="J57" s="119"/>
    </row>
    <row r="58">
      <c r="J58" s="119"/>
    </row>
    <row r="59">
      <c r="J59" s="119"/>
    </row>
    <row r="60">
      <c r="J60" s="119"/>
    </row>
    <row r="61">
      <c r="J61" s="119"/>
    </row>
    <row r="62">
      <c r="J62" s="119"/>
    </row>
    <row r="63">
      <c r="J63" s="119"/>
    </row>
    <row r="64">
      <c r="J64" s="119"/>
    </row>
    <row r="65">
      <c r="J65" s="119"/>
    </row>
    <row r="66">
      <c r="J66" s="119"/>
    </row>
    <row r="67">
      <c r="J67" s="119"/>
    </row>
    <row r="68">
      <c r="J68" s="119"/>
    </row>
    <row r="69">
      <c r="J69" s="119"/>
    </row>
    <row r="70">
      <c r="J70" s="119"/>
    </row>
    <row r="71">
      <c r="J71" s="119"/>
    </row>
    <row r="72">
      <c r="J72" s="119"/>
    </row>
    <row r="73">
      <c r="J73" s="119"/>
    </row>
    <row r="74">
      <c r="J74" s="119"/>
    </row>
    <row r="75">
      <c r="J75" s="119"/>
    </row>
    <row r="76">
      <c r="J76" s="119"/>
    </row>
    <row r="77">
      <c r="J77" s="119"/>
    </row>
    <row r="78">
      <c r="J78" s="119"/>
    </row>
    <row r="79">
      <c r="J79" s="119"/>
    </row>
    <row r="80">
      <c r="J80" s="119"/>
    </row>
    <row r="81">
      <c r="J81" s="119"/>
    </row>
    <row r="82">
      <c r="J82" s="119"/>
    </row>
    <row r="83">
      <c r="J83" s="119"/>
    </row>
    <row r="84">
      <c r="J84" s="119"/>
    </row>
    <row r="85">
      <c r="J85" s="119"/>
    </row>
    <row r="86">
      <c r="J86" s="119"/>
    </row>
    <row r="87">
      <c r="J87" s="119"/>
    </row>
    <row r="88">
      <c r="J88" s="119"/>
    </row>
    <row r="89">
      <c r="J89" s="119"/>
    </row>
    <row r="90">
      <c r="J90" s="119"/>
    </row>
    <row r="91">
      <c r="J91" s="119"/>
    </row>
    <row r="92">
      <c r="J92" s="119"/>
    </row>
    <row r="93">
      <c r="J93" s="119"/>
    </row>
    <row r="94">
      <c r="J94" s="119"/>
    </row>
    <row r="95">
      <c r="J95" s="119"/>
    </row>
    <row r="96">
      <c r="J96" s="119"/>
    </row>
    <row r="97">
      <c r="J97" s="119"/>
    </row>
    <row r="98">
      <c r="J98" s="119"/>
    </row>
    <row r="99">
      <c r="J99" s="119"/>
    </row>
    <row r="100">
      <c r="J100" s="119"/>
    </row>
    <row r="101">
      <c r="J101" s="119"/>
    </row>
    <row r="102">
      <c r="J102" s="119"/>
    </row>
    <row r="103">
      <c r="J103" s="119"/>
    </row>
    <row r="104">
      <c r="J104" s="119"/>
    </row>
    <row r="105">
      <c r="J105" s="119"/>
    </row>
    <row r="106">
      <c r="J106" s="119"/>
    </row>
    <row r="107">
      <c r="J107" s="119"/>
    </row>
    <row r="108">
      <c r="J108" s="119"/>
    </row>
    <row r="109">
      <c r="J109" s="119"/>
    </row>
    <row r="110">
      <c r="J110" s="119"/>
    </row>
    <row r="111">
      <c r="J111" s="119"/>
    </row>
    <row r="112">
      <c r="J112" s="119"/>
    </row>
    <row r="113">
      <c r="J113" s="119"/>
    </row>
    <row r="114">
      <c r="J114" s="119"/>
    </row>
    <row r="115">
      <c r="J115" s="119"/>
    </row>
    <row r="116">
      <c r="J116" s="119"/>
    </row>
    <row r="117">
      <c r="J117" s="119"/>
    </row>
    <row r="118">
      <c r="J118" s="119"/>
    </row>
    <row r="119">
      <c r="J119" s="119"/>
    </row>
    <row r="120">
      <c r="J120" s="119"/>
    </row>
    <row r="121">
      <c r="J121" s="119"/>
    </row>
    <row r="122">
      <c r="J122" s="119"/>
    </row>
    <row r="123">
      <c r="J123" s="119"/>
    </row>
    <row r="124">
      <c r="J124" s="119"/>
    </row>
    <row r="125">
      <c r="J125" s="119"/>
    </row>
    <row r="126">
      <c r="J126" s="119"/>
    </row>
    <row r="127">
      <c r="J127" s="119"/>
    </row>
    <row r="128">
      <c r="J128" s="119"/>
    </row>
    <row r="129">
      <c r="J129" s="119"/>
    </row>
    <row r="130">
      <c r="J130" s="119"/>
    </row>
    <row r="131">
      <c r="J131" s="119"/>
    </row>
    <row r="132">
      <c r="J132" s="119"/>
    </row>
    <row r="133">
      <c r="J133" s="119"/>
    </row>
    <row r="134">
      <c r="J134" s="119"/>
    </row>
    <row r="135">
      <c r="J135" s="119"/>
    </row>
    <row r="136">
      <c r="J136" s="119"/>
    </row>
    <row r="137">
      <c r="J137" s="119"/>
    </row>
    <row r="138">
      <c r="J138" s="119"/>
    </row>
    <row r="139">
      <c r="J139" s="119"/>
    </row>
    <row r="140">
      <c r="J140" s="119"/>
    </row>
    <row r="141">
      <c r="J141" s="119"/>
    </row>
    <row r="142">
      <c r="J142" s="119"/>
    </row>
    <row r="143">
      <c r="J143" s="119"/>
    </row>
    <row r="144">
      <c r="J144" s="119"/>
    </row>
    <row r="145">
      <c r="J145" s="119"/>
    </row>
    <row r="146">
      <c r="J146" s="119"/>
    </row>
    <row r="147">
      <c r="J147" s="119"/>
    </row>
    <row r="148">
      <c r="J148" s="119"/>
    </row>
    <row r="149">
      <c r="J149" s="119"/>
    </row>
    <row r="150">
      <c r="J150" s="119"/>
    </row>
    <row r="151">
      <c r="J151" s="119"/>
    </row>
    <row r="152">
      <c r="J152" s="119"/>
    </row>
    <row r="153">
      <c r="J153" s="119"/>
    </row>
    <row r="154">
      <c r="J154" s="119"/>
    </row>
    <row r="155">
      <c r="J155" s="119"/>
    </row>
    <row r="156">
      <c r="J156" s="119"/>
    </row>
    <row r="157">
      <c r="J157" s="119"/>
    </row>
    <row r="158">
      <c r="J158" s="119"/>
    </row>
    <row r="159">
      <c r="J159" s="119"/>
    </row>
    <row r="160">
      <c r="J160" s="119"/>
    </row>
    <row r="161">
      <c r="J161" s="119"/>
    </row>
    <row r="162">
      <c r="J162" s="119"/>
    </row>
    <row r="163">
      <c r="J163" s="119"/>
    </row>
    <row r="164">
      <c r="J164" s="119"/>
    </row>
    <row r="165">
      <c r="J165" s="119"/>
    </row>
    <row r="166">
      <c r="J166" s="119"/>
    </row>
    <row r="167">
      <c r="J167" s="119"/>
    </row>
    <row r="168">
      <c r="J168" s="119"/>
    </row>
    <row r="169">
      <c r="J169" s="119"/>
    </row>
    <row r="170">
      <c r="J170" s="119"/>
    </row>
    <row r="171">
      <c r="J171" s="119"/>
    </row>
    <row r="172">
      <c r="J172" s="119"/>
    </row>
    <row r="173">
      <c r="J173" s="119"/>
    </row>
    <row r="174">
      <c r="J174" s="119"/>
    </row>
    <row r="175">
      <c r="J175" s="119"/>
    </row>
    <row r="176">
      <c r="J176" s="119"/>
    </row>
    <row r="177">
      <c r="J177" s="119"/>
    </row>
    <row r="178">
      <c r="J178" s="119"/>
    </row>
    <row r="179">
      <c r="J179" s="119"/>
    </row>
    <row r="180">
      <c r="J180" s="119"/>
    </row>
    <row r="181">
      <c r="J181" s="119"/>
    </row>
    <row r="182">
      <c r="J182" s="119"/>
    </row>
    <row r="183">
      <c r="J183" s="119"/>
    </row>
    <row r="184">
      <c r="J184" s="119"/>
    </row>
    <row r="185">
      <c r="J185" s="119"/>
    </row>
    <row r="186">
      <c r="J186" s="119"/>
    </row>
    <row r="187">
      <c r="J187" s="119"/>
    </row>
    <row r="188">
      <c r="J188" s="119"/>
    </row>
    <row r="189">
      <c r="J189" s="119"/>
    </row>
    <row r="190">
      <c r="J190" s="119"/>
    </row>
    <row r="191">
      <c r="J191" s="119"/>
    </row>
    <row r="192">
      <c r="J192" s="119"/>
    </row>
    <row r="193">
      <c r="J193" s="119"/>
    </row>
    <row r="194">
      <c r="J194" s="119"/>
    </row>
    <row r="195">
      <c r="J195" s="119"/>
    </row>
    <row r="196">
      <c r="J196" s="119"/>
    </row>
    <row r="197">
      <c r="J197" s="119"/>
    </row>
    <row r="198">
      <c r="J198" s="119"/>
    </row>
    <row r="199">
      <c r="J199" s="119"/>
    </row>
    <row r="200">
      <c r="J200" s="119"/>
    </row>
  </sheetData>
  <dataValidations>
    <dataValidation type="list" allowBlank="1" showErrorMessage="1" sqref="J2:J200">
      <formula1>"Pending,Confirmed,Cancelled,Rejected,Error - Court Full,Error - Player U/A,Error - Admin Locked"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0"/>
    <col hidden="1" min="2" max="2" width="12.63"/>
  </cols>
  <sheetData>
    <row r="1">
      <c r="A1" s="122" t="s">
        <v>19</v>
      </c>
      <c r="B1" s="122" t="s">
        <v>166</v>
      </c>
      <c r="C1" s="126" t="s">
        <v>167</v>
      </c>
      <c r="D1" s="126" t="s">
        <v>168</v>
      </c>
      <c r="E1" s="126" t="s">
        <v>169</v>
      </c>
      <c r="F1" s="126" t="s">
        <v>170</v>
      </c>
      <c r="G1" s="126" t="s">
        <v>171</v>
      </c>
      <c r="H1" s="126" t="s">
        <v>172</v>
      </c>
      <c r="I1" s="126" t="s">
        <v>173</v>
      </c>
      <c r="J1" s="126" t="s">
        <v>174</v>
      </c>
      <c r="K1" s="126" t="s">
        <v>175</v>
      </c>
      <c r="L1" s="126" t="s">
        <v>176</v>
      </c>
      <c r="M1" s="126" t="s">
        <v>177</v>
      </c>
      <c r="N1" s="126" t="s">
        <v>178</v>
      </c>
      <c r="O1" s="126" t="s">
        <v>179</v>
      </c>
      <c r="P1" s="126" t="s">
        <v>180</v>
      </c>
      <c r="Q1" s="126" t="s">
        <v>181</v>
      </c>
      <c r="R1" s="126" t="s">
        <v>182</v>
      </c>
      <c r="S1" s="126" t="s">
        <v>183</v>
      </c>
      <c r="T1" s="126" t="s">
        <v>184</v>
      </c>
      <c r="U1" s="126" t="s">
        <v>185</v>
      </c>
      <c r="V1" s="126" t="s">
        <v>186</v>
      </c>
      <c r="W1" s="126" t="s">
        <v>187</v>
      </c>
      <c r="X1" s="126" t="s">
        <v>188</v>
      </c>
      <c r="Y1" s="126" t="s">
        <v>189</v>
      </c>
      <c r="Z1" s="126" t="s">
        <v>190</v>
      </c>
      <c r="AA1" s="126" t="s">
        <v>191</v>
      </c>
      <c r="AB1" s="126" t="s">
        <v>192</v>
      </c>
      <c r="AC1" s="126" t="s">
        <v>193</v>
      </c>
      <c r="AD1" s="126" t="s">
        <v>194</v>
      </c>
      <c r="AE1" s="126" t="s">
        <v>195</v>
      </c>
      <c r="AF1" s="126" t="s">
        <v>196</v>
      </c>
      <c r="AG1" s="126" t="s">
        <v>197</v>
      </c>
      <c r="AH1" s="126" t="s">
        <v>198</v>
      </c>
      <c r="AI1" s="126" t="s">
        <v>199</v>
      </c>
      <c r="AJ1" s="126" t="s">
        <v>200</v>
      </c>
      <c r="AK1" s="126" t="s">
        <v>201</v>
      </c>
      <c r="AL1" s="126" t="s">
        <v>202</v>
      </c>
      <c r="AM1" s="126" t="s">
        <v>203</v>
      </c>
      <c r="AN1" s="126" t="s">
        <v>204</v>
      </c>
      <c r="AO1" s="126" t="s">
        <v>205</v>
      </c>
      <c r="AP1" s="126" t="s">
        <v>206</v>
      </c>
      <c r="AQ1" s="126" t="s">
        <v>207</v>
      </c>
      <c r="AR1" s="126" t="s">
        <v>208</v>
      </c>
      <c r="AS1" s="126" t="s">
        <v>209</v>
      </c>
      <c r="AT1" s="126" t="s">
        <v>210</v>
      </c>
      <c r="AU1" s="126" t="s">
        <v>211</v>
      </c>
      <c r="AV1" s="126" t="s">
        <v>212</v>
      </c>
      <c r="AW1" s="126" t="s">
        <v>213</v>
      </c>
      <c r="AX1" s="126" t="s">
        <v>214</v>
      </c>
      <c r="AY1" s="126" t="s">
        <v>215</v>
      </c>
      <c r="AZ1" s="126" t="s">
        <v>216</v>
      </c>
      <c r="BA1" s="126" t="s">
        <v>217</v>
      </c>
      <c r="BB1" s="126" t="s">
        <v>218</v>
      </c>
      <c r="BC1" s="126" t="s">
        <v>219</v>
      </c>
      <c r="BD1" s="126" t="s">
        <v>220</v>
      </c>
      <c r="BE1" s="126" t="s">
        <v>221</v>
      </c>
      <c r="BF1" s="126" t="s">
        <v>222</v>
      </c>
      <c r="BG1" s="126" t="s">
        <v>223</v>
      </c>
      <c r="BH1" s="126" t="s">
        <v>224</v>
      </c>
      <c r="BI1" s="126" t="s">
        <v>225</v>
      </c>
      <c r="BJ1" s="126" t="s">
        <v>226</v>
      </c>
      <c r="BK1" s="126" t="s">
        <v>227</v>
      </c>
      <c r="BL1" s="126" t="s">
        <v>228</v>
      </c>
      <c r="BM1" s="126" t="s">
        <v>229</v>
      </c>
      <c r="BN1" s="126" t="s">
        <v>230</v>
      </c>
      <c r="BO1" s="126" t="s">
        <v>231</v>
      </c>
    </row>
    <row r="2">
      <c r="A2" s="127">
        <v>45943.0</v>
      </c>
      <c r="AC2" s="122" t="s">
        <v>232</v>
      </c>
      <c r="AD2" s="122" t="s">
        <v>232</v>
      </c>
      <c r="AY2" s="122" t="s">
        <v>232</v>
      </c>
    </row>
    <row r="3">
      <c r="A3" s="127">
        <v>45944.0</v>
      </c>
      <c r="AC3" s="122" t="s">
        <v>232</v>
      </c>
    </row>
    <row r="4">
      <c r="A4" s="127">
        <v>45945.0</v>
      </c>
      <c r="AC4" s="122" t="s">
        <v>232</v>
      </c>
    </row>
    <row r="5">
      <c r="A5" s="127">
        <v>45946.0</v>
      </c>
      <c r="AC5" s="122" t="s">
        <v>232</v>
      </c>
    </row>
    <row r="6">
      <c r="A6" s="127">
        <v>45947.0</v>
      </c>
      <c r="O6" s="122" t="s">
        <v>232</v>
      </c>
      <c r="AC6" s="122" t="s">
        <v>232</v>
      </c>
    </row>
    <row r="7">
      <c r="A7" s="127">
        <v>45948.0</v>
      </c>
      <c r="C7" s="122" t="s">
        <v>232</v>
      </c>
      <c r="D7" s="122" t="s">
        <v>232</v>
      </c>
      <c r="E7" s="122" t="s">
        <v>232</v>
      </c>
      <c r="F7" s="122" t="s">
        <v>232</v>
      </c>
      <c r="O7" s="122" t="s">
        <v>232</v>
      </c>
      <c r="AC7" s="122" t="s">
        <v>232</v>
      </c>
      <c r="AE7" s="122" t="s">
        <v>232</v>
      </c>
      <c r="AO7" s="122" t="s">
        <v>232</v>
      </c>
    </row>
    <row r="8">
      <c r="A8" s="127">
        <v>45949.0</v>
      </c>
      <c r="C8" s="122" t="s">
        <v>232</v>
      </c>
      <c r="D8" s="122" t="s">
        <v>232</v>
      </c>
      <c r="E8" s="122" t="s">
        <v>232</v>
      </c>
      <c r="F8" s="122" t="s">
        <v>232</v>
      </c>
      <c r="AC8" s="122" t="s">
        <v>232</v>
      </c>
      <c r="AE8" s="122" t="s">
        <v>232</v>
      </c>
      <c r="AO8" s="122" t="s">
        <v>232</v>
      </c>
      <c r="BG8" s="122" t="s">
        <v>232</v>
      </c>
    </row>
    <row r="9">
      <c r="A9" s="127">
        <v>45950.0</v>
      </c>
      <c r="AC9" s="122" t="s">
        <v>232</v>
      </c>
      <c r="AD9" s="122" t="s">
        <v>232</v>
      </c>
      <c r="AY9" s="122" t="s">
        <v>232</v>
      </c>
    </row>
    <row r="10">
      <c r="A10" s="127">
        <v>45951.0</v>
      </c>
    </row>
    <row r="11">
      <c r="A11" s="127">
        <v>45952.0</v>
      </c>
    </row>
    <row r="12">
      <c r="A12" s="127">
        <v>45953.0</v>
      </c>
    </row>
    <row r="13">
      <c r="A13" s="127">
        <v>45954.0</v>
      </c>
      <c r="G13" s="122" t="s">
        <v>232</v>
      </c>
      <c r="O13" s="122" t="s">
        <v>232</v>
      </c>
    </row>
    <row r="14">
      <c r="A14" s="127">
        <v>45955.0</v>
      </c>
      <c r="C14" s="122" t="s">
        <v>232</v>
      </c>
      <c r="D14" s="122" t="s">
        <v>232</v>
      </c>
      <c r="E14" s="122" t="s">
        <v>232</v>
      </c>
      <c r="F14" s="122" t="s">
        <v>232</v>
      </c>
      <c r="G14" s="122" t="s">
        <v>232</v>
      </c>
      <c r="H14" s="122" t="s">
        <v>232</v>
      </c>
      <c r="O14" s="122" t="s">
        <v>232</v>
      </c>
      <c r="AE14" s="122" t="s">
        <v>232</v>
      </c>
      <c r="AO14" s="122" t="s">
        <v>232</v>
      </c>
      <c r="BC14" s="122" t="s">
        <v>232</v>
      </c>
    </row>
    <row r="15">
      <c r="A15" s="127">
        <v>45956.0</v>
      </c>
      <c r="C15" s="122" t="s">
        <v>232</v>
      </c>
      <c r="D15" s="122" t="s">
        <v>232</v>
      </c>
      <c r="E15" s="122" t="s">
        <v>232</v>
      </c>
      <c r="F15" s="122" t="s">
        <v>232</v>
      </c>
      <c r="G15" s="122" t="s">
        <v>232</v>
      </c>
      <c r="H15" s="122" t="s">
        <v>232</v>
      </c>
      <c r="AE15" s="122" t="s">
        <v>232</v>
      </c>
      <c r="AO15" s="122" t="s">
        <v>232</v>
      </c>
      <c r="BC15" s="122" t="s">
        <v>232</v>
      </c>
      <c r="BG15" s="122" t="s">
        <v>232</v>
      </c>
    </row>
    <row r="16">
      <c r="A16" s="127">
        <v>45957.0</v>
      </c>
      <c r="G16" s="122" t="s">
        <v>232</v>
      </c>
      <c r="H16" s="122" t="s">
        <v>232</v>
      </c>
      <c r="AD16" s="122" t="s">
        <v>232</v>
      </c>
      <c r="AY16" s="122" t="s">
        <v>232</v>
      </c>
      <c r="BC16" s="122" t="s">
        <v>232</v>
      </c>
    </row>
    <row r="17">
      <c r="A17" s="127">
        <v>45958.0</v>
      </c>
      <c r="G17" s="122" t="s">
        <v>232</v>
      </c>
      <c r="H17" s="122" t="s">
        <v>232</v>
      </c>
      <c r="BC17" s="122" t="s">
        <v>232</v>
      </c>
    </row>
    <row r="18">
      <c r="A18" s="127">
        <v>45959.0</v>
      </c>
      <c r="G18" s="122" t="s">
        <v>232</v>
      </c>
      <c r="H18" s="122" t="s">
        <v>232</v>
      </c>
      <c r="AN18" s="122" t="s">
        <v>232</v>
      </c>
      <c r="AS18" s="122" t="s">
        <v>232</v>
      </c>
      <c r="BC18" s="122" t="s">
        <v>232</v>
      </c>
    </row>
    <row r="19">
      <c r="A19" s="127">
        <v>45960.0</v>
      </c>
      <c r="G19" s="122" t="s">
        <v>232</v>
      </c>
      <c r="H19" s="122" t="s">
        <v>232</v>
      </c>
      <c r="BB19" s="122" t="s">
        <v>232</v>
      </c>
      <c r="BC19" s="122" t="s">
        <v>232</v>
      </c>
    </row>
    <row r="20">
      <c r="A20" s="127">
        <v>45961.0</v>
      </c>
      <c r="G20" s="122" t="s">
        <v>232</v>
      </c>
      <c r="H20" s="122" t="s">
        <v>232</v>
      </c>
      <c r="K20" s="122" t="s">
        <v>232</v>
      </c>
      <c r="O20" s="122" t="s">
        <v>232</v>
      </c>
      <c r="W20" s="122" t="s">
        <v>232</v>
      </c>
      <c r="Z20" s="122" t="s">
        <v>232</v>
      </c>
      <c r="BC20" s="122" t="s">
        <v>232</v>
      </c>
    </row>
    <row r="21">
      <c r="A21" s="127">
        <v>45962.0</v>
      </c>
      <c r="C21" s="122" t="s">
        <v>232</v>
      </c>
      <c r="D21" s="122" t="s">
        <v>232</v>
      </c>
      <c r="E21" s="122" t="s">
        <v>232</v>
      </c>
      <c r="F21" s="122" t="s">
        <v>232</v>
      </c>
      <c r="G21" s="122" t="s">
        <v>232</v>
      </c>
      <c r="H21" s="122" t="s">
        <v>232</v>
      </c>
      <c r="K21" s="122" t="s">
        <v>232</v>
      </c>
      <c r="O21" s="122" t="s">
        <v>232</v>
      </c>
      <c r="W21" s="122" t="s">
        <v>232</v>
      </c>
      <c r="Z21" s="122" t="s">
        <v>232</v>
      </c>
      <c r="AE21" s="122" t="s">
        <v>232</v>
      </c>
      <c r="AM21" s="122" t="s">
        <v>232</v>
      </c>
      <c r="AO21" s="122" t="s">
        <v>232</v>
      </c>
      <c r="BC21" s="122" t="s">
        <v>232</v>
      </c>
      <c r="BG21" s="122" t="s">
        <v>232</v>
      </c>
    </row>
    <row r="22">
      <c r="A22" s="127">
        <v>45963.0</v>
      </c>
      <c r="C22" s="122" t="s">
        <v>232</v>
      </c>
      <c r="D22" s="122" t="s">
        <v>232</v>
      </c>
      <c r="E22" s="122" t="s">
        <v>232</v>
      </c>
      <c r="F22" s="122" t="s">
        <v>232</v>
      </c>
      <c r="G22" s="122" t="s">
        <v>232</v>
      </c>
      <c r="H22" s="122" t="s">
        <v>232</v>
      </c>
      <c r="K22" s="122" t="s">
        <v>232</v>
      </c>
      <c r="W22" s="122" t="s">
        <v>232</v>
      </c>
      <c r="Z22" s="122" t="s">
        <v>232</v>
      </c>
      <c r="AE22" s="122" t="s">
        <v>232</v>
      </c>
      <c r="AM22" s="122" t="s">
        <v>232</v>
      </c>
      <c r="AO22" s="122" t="s">
        <v>232</v>
      </c>
      <c r="BC22" s="122" t="s">
        <v>232</v>
      </c>
      <c r="BG22" s="122" t="s">
        <v>232</v>
      </c>
    </row>
    <row r="23">
      <c r="A23" s="127">
        <v>45964.0</v>
      </c>
      <c r="G23" s="122" t="s">
        <v>232</v>
      </c>
      <c r="H23" s="122" t="s">
        <v>232</v>
      </c>
      <c r="V23" s="122" t="s">
        <v>232</v>
      </c>
      <c r="AD23" s="122" t="s">
        <v>232</v>
      </c>
      <c r="AY23" s="122" t="s">
        <v>232</v>
      </c>
      <c r="BC23" s="122" t="s">
        <v>232</v>
      </c>
      <c r="BG23" s="122" t="s">
        <v>232</v>
      </c>
    </row>
    <row r="24">
      <c r="A24" s="127">
        <v>45965.0</v>
      </c>
      <c r="G24" s="122" t="s">
        <v>232</v>
      </c>
      <c r="H24" s="122" t="s">
        <v>232</v>
      </c>
      <c r="I24" s="122" t="s">
        <v>232</v>
      </c>
      <c r="V24" s="122" t="s">
        <v>232</v>
      </c>
      <c r="BC24" s="122" t="s">
        <v>232</v>
      </c>
      <c r="BG24" s="122" t="s">
        <v>232</v>
      </c>
    </row>
    <row r="25">
      <c r="A25" s="127">
        <v>45966.0</v>
      </c>
      <c r="G25" s="122" t="s">
        <v>232</v>
      </c>
      <c r="I25" s="122" t="s">
        <v>232</v>
      </c>
      <c r="V25" s="122" t="s">
        <v>232</v>
      </c>
      <c r="BC25" s="122" t="s">
        <v>232</v>
      </c>
      <c r="BG25" s="122" t="s">
        <v>232</v>
      </c>
    </row>
    <row r="26">
      <c r="A26" s="127">
        <v>45967.0</v>
      </c>
      <c r="G26" s="122" t="s">
        <v>232</v>
      </c>
      <c r="I26" s="122" t="s">
        <v>232</v>
      </c>
      <c r="V26" s="122" t="s">
        <v>232</v>
      </c>
      <c r="AS26" s="122" t="s">
        <v>232</v>
      </c>
      <c r="BC26" s="122" t="s">
        <v>232</v>
      </c>
      <c r="BG26" s="122" t="s">
        <v>232</v>
      </c>
    </row>
    <row r="27">
      <c r="A27" s="127">
        <v>45968.0</v>
      </c>
      <c r="G27" s="122" t="s">
        <v>232</v>
      </c>
      <c r="H27" s="122" t="s">
        <v>232</v>
      </c>
      <c r="O27" s="122" t="s">
        <v>232</v>
      </c>
      <c r="V27" s="122" t="s">
        <v>232</v>
      </c>
      <c r="AG27" s="122" t="s">
        <v>232</v>
      </c>
      <c r="BC27" s="122" t="s">
        <v>232</v>
      </c>
      <c r="BG27" s="122" t="s">
        <v>232</v>
      </c>
    </row>
    <row r="28">
      <c r="A28" s="127">
        <v>45969.0</v>
      </c>
      <c r="C28" s="122" t="s">
        <v>232</v>
      </c>
      <c r="D28" s="122" t="s">
        <v>232</v>
      </c>
      <c r="E28" s="122" t="s">
        <v>232</v>
      </c>
      <c r="F28" s="122" t="s">
        <v>232</v>
      </c>
      <c r="O28" s="122" t="s">
        <v>232</v>
      </c>
      <c r="V28" s="122" t="s">
        <v>232</v>
      </c>
      <c r="AE28" s="122" t="s">
        <v>232</v>
      </c>
      <c r="AG28" s="122" t="s">
        <v>232</v>
      </c>
      <c r="AM28" s="122" t="s">
        <v>232</v>
      </c>
      <c r="AO28" s="122" t="s">
        <v>232</v>
      </c>
      <c r="BC28" s="122" t="s">
        <v>232</v>
      </c>
      <c r="BE28" s="122" t="s">
        <v>232</v>
      </c>
      <c r="BG28" s="122" t="s">
        <v>232</v>
      </c>
      <c r="BL28" s="122" t="s">
        <v>232</v>
      </c>
    </row>
    <row r="29">
      <c r="A29" s="127">
        <v>45970.0</v>
      </c>
      <c r="C29" s="122" t="s">
        <v>232</v>
      </c>
      <c r="D29" s="122" t="s">
        <v>232</v>
      </c>
      <c r="E29" s="122" t="s">
        <v>232</v>
      </c>
      <c r="F29" s="122" t="s">
        <v>232</v>
      </c>
      <c r="V29" s="122" t="s">
        <v>232</v>
      </c>
      <c r="Z29" s="122" t="s">
        <v>232</v>
      </c>
      <c r="AC29" s="122" t="s">
        <v>232</v>
      </c>
      <c r="AE29" s="122" t="s">
        <v>232</v>
      </c>
      <c r="AG29" s="122" t="s">
        <v>232</v>
      </c>
      <c r="AM29" s="122" t="s">
        <v>232</v>
      </c>
      <c r="AO29" s="122" t="s">
        <v>232</v>
      </c>
      <c r="BC29" s="122" t="s">
        <v>232</v>
      </c>
      <c r="BE29" s="122" t="s">
        <v>232</v>
      </c>
      <c r="BG29" s="122" t="s">
        <v>232</v>
      </c>
      <c r="BL29" s="122" t="s">
        <v>232</v>
      </c>
    </row>
    <row r="30">
      <c r="A30" s="127">
        <v>45971.0</v>
      </c>
      <c r="V30" s="122" t="s">
        <v>232</v>
      </c>
      <c r="AD30" s="122" t="s">
        <v>232</v>
      </c>
      <c r="AG30" s="122" t="s">
        <v>232</v>
      </c>
      <c r="AY30" s="122" t="s">
        <v>232</v>
      </c>
      <c r="BC30" s="122" t="s">
        <v>232</v>
      </c>
      <c r="BG30" s="122" t="s">
        <v>232</v>
      </c>
    </row>
    <row r="31">
      <c r="A31" s="127">
        <v>45972.0</v>
      </c>
      <c r="K31" s="122" t="s">
        <v>232</v>
      </c>
      <c r="L31" s="122" t="s">
        <v>233</v>
      </c>
      <c r="M31" s="122" t="s">
        <v>233</v>
      </c>
      <c r="N31" s="122" t="s">
        <v>233</v>
      </c>
      <c r="AS31" s="122" t="s">
        <v>232</v>
      </c>
      <c r="BC31" s="122" t="s">
        <v>232</v>
      </c>
      <c r="BG31" s="122" t="s">
        <v>232</v>
      </c>
    </row>
    <row r="32">
      <c r="A32" s="127">
        <v>45973.0</v>
      </c>
      <c r="K32" s="122" t="s">
        <v>232</v>
      </c>
      <c r="L32" s="122" t="s">
        <v>233</v>
      </c>
      <c r="M32" s="122" t="s">
        <v>233</v>
      </c>
      <c r="N32" s="122" t="s">
        <v>233</v>
      </c>
      <c r="T32" s="122" t="s">
        <v>232</v>
      </c>
      <c r="Y32" s="122" t="s">
        <v>232</v>
      </c>
      <c r="AC32" s="122" t="s">
        <v>232</v>
      </c>
      <c r="AJ32" s="122" t="s">
        <v>232</v>
      </c>
      <c r="AR32" s="122" t="s">
        <v>232</v>
      </c>
      <c r="AY32" s="122" t="s">
        <v>232</v>
      </c>
      <c r="BG32" s="122" t="s">
        <v>232</v>
      </c>
    </row>
    <row r="33">
      <c r="A33" s="127">
        <v>45974.0</v>
      </c>
      <c r="K33" s="122" t="s">
        <v>232</v>
      </c>
      <c r="L33" s="122" t="s">
        <v>234</v>
      </c>
      <c r="M33" s="122" t="s">
        <v>234</v>
      </c>
      <c r="N33" s="122" t="s">
        <v>234</v>
      </c>
      <c r="T33" s="122" t="s">
        <v>232</v>
      </c>
      <c r="Y33" s="122" t="s">
        <v>232</v>
      </c>
      <c r="AJ33" s="122" t="s">
        <v>232</v>
      </c>
      <c r="AR33" s="122" t="s">
        <v>232</v>
      </c>
      <c r="AY33" s="122" t="s">
        <v>232</v>
      </c>
      <c r="BG33" s="122" t="s">
        <v>232</v>
      </c>
    </row>
    <row r="34">
      <c r="A34" s="127">
        <v>45975.0</v>
      </c>
      <c r="K34" s="122" t="s">
        <v>232</v>
      </c>
      <c r="L34" s="122" t="s">
        <v>233</v>
      </c>
      <c r="M34" s="122" t="s">
        <v>233</v>
      </c>
      <c r="N34" s="122" t="s">
        <v>233</v>
      </c>
      <c r="O34" s="122" t="s">
        <v>232</v>
      </c>
      <c r="T34" s="122" t="s">
        <v>232</v>
      </c>
      <c r="U34" s="122" t="s">
        <v>232</v>
      </c>
      <c r="AG34" s="122" t="s">
        <v>232</v>
      </c>
      <c r="AJ34" s="122" t="s">
        <v>232</v>
      </c>
      <c r="AR34" s="122" t="s">
        <v>232</v>
      </c>
      <c r="AY34" s="122" t="s">
        <v>232</v>
      </c>
      <c r="BG34" s="122" t="s">
        <v>232</v>
      </c>
    </row>
    <row r="35">
      <c r="A35" s="127">
        <v>45976.0</v>
      </c>
      <c r="C35" s="122" t="s">
        <v>232</v>
      </c>
      <c r="D35" s="122" t="s">
        <v>232</v>
      </c>
      <c r="E35" s="122" t="s">
        <v>232</v>
      </c>
      <c r="F35" s="122" t="s">
        <v>232</v>
      </c>
      <c r="H35" s="122" t="s">
        <v>233</v>
      </c>
      <c r="I35" s="122" t="s">
        <v>233</v>
      </c>
      <c r="K35" s="122" t="s">
        <v>232</v>
      </c>
      <c r="L35" s="122" t="s">
        <v>233</v>
      </c>
      <c r="M35" s="122" t="s">
        <v>233</v>
      </c>
      <c r="N35" s="122" t="s">
        <v>233</v>
      </c>
      <c r="O35" s="122" t="s">
        <v>232</v>
      </c>
      <c r="T35" s="122" t="s">
        <v>232</v>
      </c>
      <c r="U35" s="122" t="s">
        <v>233</v>
      </c>
      <c r="Z35" s="122" t="s">
        <v>232</v>
      </c>
      <c r="AE35" s="122" t="s">
        <v>232</v>
      </c>
      <c r="AG35" s="122" t="s">
        <v>232</v>
      </c>
      <c r="AJ35" s="122" t="s">
        <v>232</v>
      </c>
      <c r="AO35" s="122" t="s">
        <v>232</v>
      </c>
      <c r="AR35" s="122" t="s">
        <v>232</v>
      </c>
      <c r="AY35" s="122" t="s">
        <v>232</v>
      </c>
      <c r="BG35" s="122" t="s">
        <v>232</v>
      </c>
    </row>
    <row r="36">
      <c r="A36" s="127">
        <v>45977.0</v>
      </c>
      <c r="C36" s="122" t="s">
        <v>232</v>
      </c>
      <c r="D36" s="122" t="s">
        <v>232</v>
      </c>
      <c r="E36" s="122" t="s">
        <v>232</v>
      </c>
      <c r="F36" s="122" t="s">
        <v>232</v>
      </c>
      <c r="H36" s="122" t="s">
        <v>233</v>
      </c>
      <c r="I36" s="122" t="s">
        <v>233</v>
      </c>
      <c r="K36" s="122" t="s">
        <v>232</v>
      </c>
      <c r="M36" s="122" t="s">
        <v>233</v>
      </c>
      <c r="U36" s="122" t="s">
        <v>233</v>
      </c>
      <c r="Z36" s="122" t="s">
        <v>232</v>
      </c>
      <c r="AA36" s="122" t="s">
        <v>233</v>
      </c>
      <c r="AB36" s="122" t="s">
        <v>233</v>
      </c>
      <c r="AC36" s="122" t="s">
        <v>232</v>
      </c>
      <c r="AD36" s="122" t="s">
        <v>232</v>
      </c>
      <c r="AE36" s="122" t="s">
        <v>232</v>
      </c>
      <c r="AF36" s="122" t="s">
        <v>233</v>
      </c>
      <c r="AG36" s="122" t="s">
        <v>232</v>
      </c>
      <c r="AH36" s="122" t="s">
        <v>233</v>
      </c>
      <c r="AJ36" s="122" t="s">
        <v>232</v>
      </c>
      <c r="AN36" s="122" t="s">
        <v>233</v>
      </c>
      <c r="AO36" s="122" t="s">
        <v>232</v>
      </c>
      <c r="AQ36" s="122" t="s">
        <v>233</v>
      </c>
      <c r="AR36" s="122" t="s">
        <v>232</v>
      </c>
      <c r="AX36" s="122" t="s">
        <v>233</v>
      </c>
      <c r="AY36" s="122" t="s">
        <v>232</v>
      </c>
      <c r="AZ36" s="122" t="s">
        <v>233</v>
      </c>
      <c r="BA36" s="122" t="s">
        <v>233</v>
      </c>
      <c r="BG36" s="122" t="s">
        <v>232</v>
      </c>
      <c r="BL36" s="122" t="s">
        <v>232</v>
      </c>
    </row>
    <row r="37">
      <c r="A37" s="127">
        <v>45978.0</v>
      </c>
      <c r="H37" s="122" t="s">
        <v>234</v>
      </c>
      <c r="I37" s="122" t="s">
        <v>234</v>
      </c>
      <c r="M37" s="122" t="s">
        <v>234</v>
      </c>
      <c r="R37" s="122" t="s">
        <v>232</v>
      </c>
      <c r="T37" s="122" t="s">
        <v>232</v>
      </c>
      <c r="U37" s="122" t="s">
        <v>234</v>
      </c>
      <c r="AA37" s="122" t="s">
        <v>233</v>
      </c>
      <c r="AB37" s="122" t="s">
        <v>233</v>
      </c>
      <c r="AC37" s="122" t="s">
        <v>233</v>
      </c>
      <c r="AD37" s="122" t="s">
        <v>232</v>
      </c>
      <c r="AE37" s="122" t="s">
        <v>233</v>
      </c>
      <c r="AF37" s="122" t="s">
        <v>233</v>
      </c>
      <c r="AG37" s="122" t="s">
        <v>233</v>
      </c>
      <c r="AH37" s="122" t="s">
        <v>233</v>
      </c>
      <c r="AN37" s="122" t="s">
        <v>233</v>
      </c>
      <c r="AQ37" s="122" t="s">
        <v>233</v>
      </c>
      <c r="AR37" s="122" t="s">
        <v>233</v>
      </c>
      <c r="AX37" s="122" t="s">
        <v>233</v>
      </c>
      <c r="AY37" s="122" t="s">
        <v>232</v>
      </c>
      <c r="AZ37" s="122" t="s">
        <v>233</v>
      </c>
      <c r="BA37" s="122" t="s">
        <v>233</v>
      </c>
      <c r="BB37" s="122" t="s">
        <v>233</v>
      </c>
      <c r="BC37" s="122" t="s">
        <v>233</v>
      </c>
      <c r="BD37" s="122" t="s">
        <v>233</v>
      </c>
      <c r="BE37" s="122" t="s">
        <v>233</v>
      </c>
      <c r="BG37" s="122" t="s">
        <v>232</v>
      </c>
    </row>
    <row r="38">
      <c r="A38" s="127">
        <v>45979.0</v>
      </c>
      <c r="D38" s="122" t="s">
        <v>233</v>
      </c>
      <c r="E38" s="122" t="s">
        <v>233</v>
      </c>
      <c r="H38" s="122" t="s">
        <v>233</v>
      </c>
      <c r="I38" s="122" t="s">
        <v>233</v>
      </c>
      <c r="M38" s="122" t="s">
        <v>233</v>
      </c>
      <c r="N38" s="122" t="s">
        <v>233</v>
      </c>
      <c r="R38" s="122" t="s">
        <v>232</v>
      </c>
      <c r="T38" s="122" t="s">
        <v>232</v>
      </c>
      <c r="U38" s="122" t="s">
        <v>233</v>
      </c>
      <c r="V38" s="122" t="s">
        <v>233</v>
      </c>
      <c r="AA38" s="122" t="s">
        <v>234</v>
      </c>
      <c r="AB38" s="122" t="s">
        <v>234</v>
      </c>
      <c r="AC38" s="122" t="s">
        <v>234</v>
      </c>
      <c r="AD38" s="122" t="s">
        <v>234</v>
      </c>
      <c r="AE38" s="122" t="s">
        <v>234</v>
      </c>
      <c r="AF38" s="122" t="s">
        <v>234</v>
      </c>
      <c r="AG38" s="122" t="s">
        <v>234</v>
      </c>
      <c r="AH38" s="122" t="s">
        <v>234</v>
      </c>
      <c r="AI38" s="122" t="s">
        <v>233</v>
      </c>
      <c r="AJ38" s="122" t="s">
        <v>233</v>
      </c>
      <c r="AK38" s="122" t="s">
        <v>233</v>
      </c>
      <c r="AL38" s="122" t="s">
        <v>233</v>
      </c>
      <c r="AN38" s="122" t="s">
        <v>234</v>
      </c>
      <c r="AQ38" s="122" t="s">
        <v>234</v>
      </c>
      <c r="AR38" s="122" t="s">
        <v>234</v>
      </c>
      <c r="AS38" s="122" t="s">
        <v>232</v>
      </c>
      <c r="AX38" s="122" t="s">
        <v>234</v>
      </c>
      <c r="AY38" s="122" t="s">
        <v>234</v>
      </c>
      <c r="AZ38" s="122" t="s">
        <v>234</v>
      </c>
      <c r="BA38" s="122" t="s">
        <v>234</v>
      </c>
      <c r="BB38" s="122" t="s">
        <v>233</v>
      </c>
      <c r="BC38" s="122" t="s">
        <v>233</v>
      </c>
      <c r="BD38" s="122" t="s">
        <v>233</v>
      </c>
      <c r="BE38" s="122" t="s">
        <v>233</v>
      </c>
      <c r="BF38" s="122" t="s">
        <v>233</v>
      </c>
      <c r="BG38" s="122" t="s">
        <v>232</v>
      </c>
      <c r="BH38" s="122" t="s">
        <v>233</v>
      </c>
      <c r="BI38" s="122" t="s">
        <v>233</v>
      </c>
      <c r="BL38" s="122" t="s">
        <v>233</v>
      </c>
      <c r="BM38" s="122" t="s">
        <v>233</v>
      </c>
      <c r="BN38" s="122" t="s">
        <v>233</v>
      </c>
      <c r="BO38" s="122" t="s">
        <v>233</v>
      </c>
    </row>
    <row r="39">
      <c r="A39" s="127">
        <v>45980.0</v>
      </c>
      <c r="D39" s="122" t="s">
        <v>233</v>
      </c>
      <c r="E39" s="122" t="s">
        <v>233</v>
      </c>
      <c r="G39" s="122" t="s">
        <v>232</v>
      </c>
      <c r="H39" s="122" t="s">
        <v>233</v>
      </c>
      <c r="I39" s="122" t="s">
        <v>232</v>
      </c>
      <c r="M39" s="122" t="s">
        <v>233</v>
      </c>
      <c r="N39" s="122" t="s">
        <v>233</v>
      </c>
      <c r="R39" s="122" t="s">
        <v>232</v>
      </c>
      <c r="T39" s="122" t="s">
        <v>232</v>
      </c>
      <c r="U39" s="122" t="s">
        <v>233</v>
      </c>
      <c r="V39" s="122" t="s">
        <v>233</v>
      </c>
      <c r="AA39" s="122" t="s">
        <v>233</v>
      </c>
      <c r="AB39" s="122" t="s">
        <v>233</v>
      </c>
      <c r="AC39" s="122" t="s">
        <v>233</v>
      </c>
      <c r="AD39" s="122" t="s">
        <v>233</v>
      </c>
      <c r="AE39" s="122" t="s">
        <v>233</v>
      </c>
      <c r="AF39" s="122" t="s">
        <v>233</v>
      </c>
      <c r="AG39" s="122" t="s">
        <v>233</v>
      </c>
      <c r="AH39" s="122" t="s">
        <v>233</v>
      </c>
      <c r="AI39" s="122" t="s">
        <v>233</v>
      </c>
      <c r="AJ39" s="122" t="s">
        <v>233</v>
      </c>
      <c r="AK39" s="122" t="s">
        <v>233</v>
      </c>
      <c r="AL39" s="122" t="s">
        <v>233</v>
      </c>
      <c r="AN39" s="122" t="s">
        <v>233</v>
      </c>
      <c r="AQ39" s="122" t="s">
        <v>233</v>
      </c>
      <c r="AR39" s="122" t="s">
        <v>233</v>
      </c>
      <c r="AX39" s="122" t="s">
        <v>233</v>
      </c>
      <c r="AY39" s="122" t="s">
        <v>233</v>
      </c>
      <c r="AZ39" s="122" t="s">
        <v>233</v>
      </c>
      <c r="BA39" s="122" t="s">
        <v>233</v>
      </c>
      <c r="BB39" s="122" t="s">
        <v>234</v>
      </c>
      <c r="BC39" s="122" t="s">
        <v>234</v>
      </c>
      <c r="BD39" s="122" t="s">
        <v>234</v>
      </c>
      <c r="BE39" s="122" t="s">
        <v>234</v>
      </c>
      <c r="BF39" s="122" t="s">
        <v>233</v>
      </c>
      <c r="BG39" s="122" t="s">
        <v>232</v>
      </c>
      <c r="BH39" s="122" t="s">
        <v>233</v>
      </c>
      <c r="BI39" s="122" t="s">
        <v>233</v>
      </c>
      <c r="BL39" s="122" t="s">
        <v>233</v>
      </c>
      <c r="BM39" s="122" t="s">
        <v>233</v>
      </c>
      <c r="BN39" s="122" t="s">
        <v>233</v>
      </c>
      <c r="BO39" s="122" t="s">
        <v>233</v>
      </c>
    </row>
    <row r="40">
      <c r="A40" s="127">
        <v>45981.0</v>
      </c>
      <c r="D40" s="122" t="s">
        <v>234</v>
      </c>
      <c r="E40" s="122" t="s">
        <v>234</v>
      </c>
      <c r="G40" s="122" t="s">
        <v>232</v>
      </c>
      <c r="N40" s="122" t="s">
        <v>234</v>
      </c>
      <c r="R40" s="122" t="s">
        <v>232</v>
      </c>
      <c r="V40" s="122" t="s">
        <v>234</v>
      </c>
      <c r="AA40" s="122" t="s">
        <v>233</v>
      </c>
      <c r="AB40" s="122" t="s">
        <v>233</v>
      </c>
      <c r="AC40" s="122" t="s">
        <v>233</v>
      </c>
      <c r="AD40" s="122" t="s">
        <v>233</v>
      </c>
      <c r="AE40" s="122" t="s">
        <v>233</v>
      </c>
      <c r="AF40" s="122" t="s">
        <v>233</v>
      </c>
      <c r="AG40" s="122" t="s">
        <v>233</v>
      </c>
      <c r="AH40" s="122" t="s">
        <v>233</v>
      </c>
      <c r="AI40" s="122" t="s">
        <v>234</v>
      </c>
      <c r="AJ40" s="122" t="s">
        <v>234</v>
      </c>
      <c r="AK40" s="122" t="s">
        <v>234</v>
      </c>
      <c r="AL40" s="122" t="s">
        <v>234</v>
      </c>
      <c r="AN40" s="122" t="s">
        <v>233</v>
      </c>
      <c r="AQ40" s="122" t="s">
        <v>233</v>
      </c>
      <c r="AR40" s="122" t="s">
        <v>233</v>
      </c>
      <c r="AX40" s="122" t="s">
        <v>233</v>
      </c>
      <c r="AY40" s="122" t="s">
        <v>233</v>
      </c>
      <c r="AZ40" s="122" t="s">
        <v>233</v>
      </c>
      <c r="BA40" s="122" t="s">
        <v>233</v>
      </c>
      <c r="BB40" s="122" t="s">
        <v>233</v>
      </c>
      <c r="BC40" s="122" t="s">
        <v>233</v>
      </c>
      <c r="BD40" s="122" t="s">
        <v>233</v>
      </c>
      <c r="BE40" s="122" t="s">
        <v>232</v>
      </c>
      <c r="BF40" s="122" t="s">
        <v>234</v>
      </c>
      <c r="BG40" s="122" t="s">
        <v>232</v>
      </c>
      <c r="BH40" s="122" t="s">
        <v>234</v>
      </c>
      <c r="BI40" s="122" t="s">
        <v>234</v>
      </c>
      <c r="BL40" s="122" t="s">
        <v>234</v>
      </c>
      <c r="BM40" s="122" t="s">
        <v>234</v>
      </c>
      <c r="BN40" s="122" t="s">
        <v>234</v>
      </c>
      <c r="BO40" s="122" t="s">
        <v>234</v>
      </c>
    </row>
    <row r="41">
      <c r="A41" s="127">
        <v>45982.0</v>
      </c>
      <c r="D41" s="122" t="s">
        <v>233</v>
      </c>
      <c r="E41" s="122" t="s">
        <v>233</v>
      </c>
      <c r="N41" s="122" t="s">
        <v>233</v>
      </c>
      <c r="O41" s="122" t="s">
        <v>232</v>
      </c>
      <c r="R41" s="122" t="s">
        <v>232</v>
      </c>
      <c r="U41" s="122" t="s">
        <v>232</v>
      </c>
      <c r="V41" s="122" t="s">
        <v>233</v>
      </c>
      <c r="Y41" s="122" t="s">
        <v>232</v>
      </c>
      <c r="AI41" s="122" t="s">
        <v>233</v>
      </c>
      <c r="AJ41" s="122" t="s">
        <v>233</v>
      </c>
      <c r="AK41" s="122" t="s">
        <v>233</v>
      </c>
      <c r="AL41" s="122" t="s">
        <v>233</v>
      </c>
      <c r="AP41" s="122" t="s">
        <v>232</v>
      </c>
      <c r="AQ41" s="122" t="s">
        <v>232</v>
      </c>
      <c r="AX41" s="122" t="s">
        <v>232</v>
      </c>
      <c r="AY41" s="122" t="s">
        <v>234</v>
      </c>
      <c r="AZ41" s="122" t="s">
        <v>234</v>
      </c>
      <c r="BA41" s="122" t="s">
        <v>234</v>
      </c>
      <c r="BB41" s="122" t="s">
        <v>233</v>
      </c>
      <c r="BC41" s="122" t="s">
        <v>233</v>
      </c>
      <c r="BD41" s="122" t="s">
        <v>233</v>
      </c>
      <c r="BE41" s="122" t="s">
        <v>232</v>
      </c>
      <c r="BF41" s="122" t="s">
        <v>233</v>
      </c>
      <c r="BG41" s="122" t="s">
        <v>232</v>
      </c>
      <c r="BH41" s="122" t="s">
        <v>233</v>
      </c>
      <c r="BI41" s="122" t="s">
        <v>233</v>
      </c>
      <c r="BL41" s="122" t="s">
        <v>233</v>
      </c>
      <c r="BM41" s="122" t="s">
        <v>233</v>
      </c>
      <c r="BN41" s="122" t="s">
        <v>233</v>
      </c>
      <c r="BO41" s="122" t="s">
        <v>233</v>
      </c>
    </row>
    <row r="42">
      <c r="A42" s="127">
        <v>45983.0</v>
      </c>
      <c r="C42" s="122" t="s">
        <v>232</v>
      </c>
      <c r="D42" s="122" t="s">
        <v>232</v>
      </c>
      <c r="E42" s="122" t="s">
        <v>232</v>
      </c>
      <c r="F42" s="122" t="s">
        <v>232</v>
      </c>
      <c r="K42" s="122" t="s">
        <v>233</v>
      </c>
      <c r="L42" s="122" t="s">
        <v>233</v>
      </c>
      <c r="M42" s="122" t="s">
        <v>233</v>
      </c>
      <c r="N42" s="122" t="s">
        <v>233</v>
      </c>
      <c r="O42" s="122" t="s">
        <v>232</v>
      </c>
      <c r="V42" s="122" t="s">
        <v>233</v>
      </c>
      <c r="W42" s="122" t="s">
        <v>233</v>
      </c>
      <c r="Y42" s="122" t="s">
        <v>232</v>
      </c>
      <c r="Z42" s="122" t="s">
        <v>232</v>
      </c>
      <c r="AE42" s="122" t="s">
        <v>232</v>
      </c>
      <c r="AG42" s="122" t="s">
        <v>233</v>
      </c>
      <c r="AI42" s="122" t="s">
        <v>233</v>
      </c>
      <c r="AJ42" s="122" t="s">
        <v>233</v>
      </c>
      <c r="AK42" s="122" t="s">
        <v>233</v>
      </c>
      <c r="AL42" s="122" t="s">
        <v>232</v>
      </c>
      <c r="AN42" s="122" t="s">
        <v>233</v>
      </c>
      <c r="AO42" s="122" t="s">
        <v>232</v>
      </c>
      <c r="AP42" s="122" t="s">
        <v>232</v>
      </c>
      <c r="AQ42" s="122" t="s">
        <v>232</v>
      </c>
      <c r="AX42" s="122" t="s">
        <v>232</v>
      </c>
      <c r="AY42" s="122" t="s">
        <v>233</v>
      </c>
      <c r="AZ42" s="122" t="s">
        <v>233</v>
      </c>
      <c r="BA42" s="122" t="s">
        <v>233</v>
      </c>
      <c r="BE42" s="122" t="s">
        <v>232</v>
      </c>
      <c r="BF42" s="122" t="s">
        <v>233</v>
      </c>
      <c r="BG42" s="122" t="s">
        <v>232</v>
      </c>
      <c r="BH42" s="122" t="s">
        <v>233</v>
      </c>
      <c r="BI42" s="122" t="s">
        <v>233</v>
      </c>
      <c r="BL42" s="122" t="s">
        <v>232</v>
      </c>
      <c r="BM42" s="122" t="s">
        <v>233</v>
      </c>
      <c r="BN42" s="122" t="s">
        <v>232</v>
      </c>
      <c r="BO42" s="122" t="s">
        <v>233</v>
      </c>
    </row>
    <row r="43">
      <c r="A43" s="127">
        <v>45984.0</v>
      </c>
      <c r="C43" s="122" t="s">
        <v>232</v>
      </c>
      <c r="D43" s="122" t="s">
        <v>232</v>
      </c>
      <c r="E43" s="122" t="s">
        <v>232</v>
      </c>
      <c r="F43" s="122" t="s">
        <v>232</v>
      </c>
      <c r="K43" s="122" t="s">
        <v>233</v>
      </c>
      <c r="L43" s="122" t="s">
        <v>233</v>
      </c>
      <c r="M43" s="122" t="s">
        <v>233</v>
      </c>
      <c r="N43" s="122" t="s">
        <v>233</v>
      </c>
      <c r="W43" s="122" t="s">
        <v>233</v>
      </c>
      <c r="Y43" s="122" t="s">
        <v>232</v>
      </c>
      <c r="AE43" s="122" t="s">
        <v>232</v>
      </c>
      <c r="AG43" s="122" t="s">
        <v>233</v>
      </c>
      <c r="AL43" s="122" t="s">
        <v>232</v>
      </c>
      <c r="AN43" s="122" t="s">
        <v>233</v>
      </c>
      <c r="AO43" s="122" t="s">
        <v>232</v>
      </c>
      <c r="AP43" s="122" t="s">
        <v>232</v>
      </c>
      <c r="AQ43" s="122" t="s">
        <v>232</v>
      </c>
      <c r="AX43" s="122" t="s">
        <v>232</v>
      </c>
      <c r="AY43" s="122" t="s">
        <v>233</v>
      </c>
      <c r="AZ43" s="122" t="s">
        <v>233</v>
      </c>
      <c r="BA43" s="122" t="s">
        <v>233</v>
      </c>
      <c r="BE43" s="122" t="s">
        <v>232</v>
      </c>
      <c r="BF43" s="122" t="s">
        <v>233</v>
      </c>
      <c r="BG43" s="122" t="s">
        <v>232</v>
      </c>
      <c r="BH43" s="122" t="s">
        <v>233</v>
      </c>
      <c r="BI43" s="122" t="s">
        <v>233</v>
      </c>
    </row>
    <row r="44">
      <c r="A44" s="127">
        <v>45985.0</v>
      </c>
      <c r="K44" s="122" t="s">
        <v>234</v>
      </c>
      <c r="L44" s="122" t="s">
        <v>234</v>
      </c>
      <c r="M44" s="122" t="s">
        <v>234</v>
      </c>
      <c r="N44" s="122" t="s">
        <v>234</v>
      </c>
      <c r="W44" s="122" t="s">
        <v>234</v>
      </c>
      <c r="Z44" s="122" t="s">
        <v>232</v>
      </c>
      <c r="AD44" s="122" t="s">
        <v>232</v>
      </c>
      <c r="AG44" s="122" t="s">
        <v>234</v>
      </c>
      <c r="AL44" s="122" t="s">
        <v>232</v>
      </c>
      <c r="AN44" s="122" t="s">
        <v>234</v>
      </c>
      <c r="AO44" s="122" t="s">
        <v>234</v>
      </c>
      <c r="AX44" s="122" t="s">
        <v>232</v>
      </c>
      <c r="AY44" s="122" t="s">
        <v>232</v>
      </c>
      <c r="BE44" s="122" t="s">
        <v>232</v>
      </c>
      <c r="BF44" s="122" t="s">
        <v>233</v>
      </c>
      <c r="BG44" s="122" t="s">
        <v>232</v>
      </c>
      <c r="BH44" s="122" t="s">
        <v>233</v>
      </c>
      <c r="BI44" s="122" t="s">
        <v>233</v>
      </c>
    </row>
    <row r="45">
      <c r="A45" s="127">
        <v>45986.0</v>
      </c>
      <c r="G45" s="122" t="s">
        <v>232</v>
      </c>
      <c r="I45" s="122" t="s">
        <v>232</v>
      </c>
      <c r="K45" s="122" t="s">
        <v>233</v>
      </c>
      <c r="L45" s="122" t="s">
        <v>233</v>
      </c>
      <c r="M45" s="122" t="s">
        <v>233</v>
      </c>
      <c r="N45" s="122" t="s">
        <v>233</v>
      </c>
      <c r="W45" s="122" t="s">
        <v>232</v>
      </c>
      <c r="X45" s="122" t="s">
        <v>233</v>
      </c>
      <c r="Y45" s="122" t="s">
        <v>232</v>
      </c>
      <c r="Z45" s="122" t="s">
        <v>232</v>
      </c>
      <c r="AC45" s="122" t="s">
        <v>233</v>
      </c>
      <c r="AG45" s="122" t="s">
        <v>233</v>
      </c>
      <c r="AL45" s="122" t="s">
        <v>232</v>
      </c>
      <c r="AM45" s="122" t="s">
        <v>233</v>
      </c>
      <c r="AN45" s="122" t="s">
        <v>233</v>
      </c>
      <c r="AO45" s="122" t="s">
        <v>232</v>
      </c>
      <c r="AQ45" s="122" t="s">
        <v>233</v>
      </c>
      <c r="AR45" s="122" t="s">
        <v>233</v>
      </c>
      <c r="AS45" s="122" t="s">
        <v>233</v>
      </c>
      <c r="AX45" s="122" t="s">
        <v>232</v>
      </c>
      <c r="AY45" s="122" t="s">
        <v>232</v>
      </c>
      <c r="BE45" s="122" t="s">
        <v>232</v>
      </c>
      <c r="BF45" s="122" t="s">
        <v>234</v>
      </c>
      <c r="BG45" s="122" t="s">
        <v>232</v>
      </c>
      <c r="BH45" s="122" t="s">
        <v>234</v>
      </c>
      <c r="BI45" s="122" t="s">
        <v>234</v>
      </c>
      <c r="BJ45" s="122" t="s">
        <v>233</v>
      </c>
      <c r="BK45" s="122" t="s">
        <v>233</v>
      </c>
      <c r="BL45" s="122" t="s">
        <v>233</v>
      </c>
      <c r="BM45" s="122" t="s">
        <v>233</v>
      </c>
    </row>
    <row r="46">
      <c r="A46" s="127">
        <v>45987.0</v>
      </c>
      <c r="K46" s="122" t="s">
        <v>233</v>
      </c>
      <c r="L46" s="122" t="s">
        <v>233</v>
      </c>
      <c r="M46" s="122" t="s">
        <v>233</v>
      </c>
      <c r="N46" s="122" t="s">
        <v>233</v>
      </c>
      <c r="V46" s="122" t="s">
        <v>232</v>
      </c>
      <c r="W46" s="122" t="s">
        <v>232</v>
      </c>
      <c r="X46" s="122" t="s">
        <v>233</v>
      </c>
      <c r="Y46" s="122" t="s">
        <v>233</v>
      </c>
      <c r="Z46" s="122" t="s">
        <v>232</v>
      </c>
      <c r="AC46" s="122" t="s">
        <v>232</v>
      </c>
      <c r="AG46" s="122" t="s">
        <v>233</v>
      </c>
      <c r="AL46" s="122" t="s">
        <v>232</v>
      </c>
      <c r="AM46" s="122" t="s">
        <v>233</v>
      </c>
      <c r="AN46" s="122" t="s">
        <v>233</v>
      </c>
      <c r="AO46" s="122" t="s">
        <v>232</v>
      </c>
      <c r="AQ46" s="122" t="s">
        <v>233</v>
      </c>
      <c r="AR46" s="122" t="s">
        <v>233</v>
      </c>
      <c r="AS46" s="122" t="s">
        <v>233</v>
      </c>
      <c r="AX46" s="122" t="s">
        <v>232</v>
      </c>
      <c r="BE46" s="122" t="s">
        <v>232</v>
      </c>
      <c r="BF46" s="122" t="s">
        <v>233</v>
      </c>
      <c r="BG46" s="122" t="s">
        <v>232</v>
      </c>
      <c r="BH46" s="122" t="s">
        <v>233</v>
      </c>
      <c r="BI46" s="122" t="s">
        <v>233</v>
      </c>
      <c r="BJ46" s="122" t="s">
        <v>233</v>
      </c>
      <c r="BK46" s="122" t="s">
        <v>233</v>
      </c>
      <c r="BL46" s="122" t="s">
        <v>233</v>
      </c>
      <c r="BM46" s="122" t="s">
        <v>233</v>
      </c>
    </row>
    <row r="47">
      <c r="A47" s="127">
        <v>45988.0</v>
      </c>
      <c r="X47" s="122" t="s">
        <v>234</v>
      </c>
      <c r="Y47" s="122" t="s">
        <v>234</v>
      </c>
      <c r="Z47" s="122" t="s">
        <v>232</v>
      </c>
      <c r="AC47" s="122" t="s">
        <v>234</v>
      </c>
      <c r="AE47" s="122" t="s">
        <v>232</v>
      </c>
      <c r="AL47" s="122" t="s">
        <v>232</v>
      </c>
      <c r="AM47" s="122" t="s">
        <v>234</v>
      </c>
      <c r="AN47" s="122" t="s">
        <v>234</v>
      </c>
      <c r="AO47" s="122" t="s">
        <v>232</v>
      </c>
      <c r="AQ47" s="122" t="s">
        <v>234</v>
      </c>
      <c r="AR47" s="122" t="s">
        <v>234</v>
      </c>
      <c r="AS47" s="122" t="s">
        <v>234</v>
      </c>
      <c r="AX47" s="122" t="s">
        <v>232</v>
      </c>
      <c r="AY47" s="122" t="s">
        <v>232</v>
      </c>
      <c r="AZ47" s="122" t="s">
        <v>233</v>
      </c>
      <c r="BA47" s="122" t="s">
        <v>233</v>
      </c>
      <c r="BE47" s="122" t="s">
        <v>232</v>
      </c>
      <c r="BF47" s="122" t="s">
        <v>233</v>
      </c>
      <c r="BG47" s="122" t="s">
        <v>232</v>
      </c>
      <c r="BH47" s="122" t="s">
        <v>233</v>
      </c>
      <c r="BI47" s="122" t="s">
        <v>233</v>
      </c>
      <c r="BJ47" s="122" t="s">
        <v>234</v>
      </c>
      <c r="BK47" s="122" t="s">
        <v>234</v>
      </c>
      <c r="BL47" s="122" t="s">
        <v>234</v>
      </c>
      <c r="BM47" s="122" t="s">
        <v>234</v>
      </c>
    </row>
    <row r="48">
      <c r="A48" s="127">
        <v>45989.0</v>
      </c>
      <c r="H48" s="122" t="s">
        <v>232</v>
      </c>
      <c r="K48" s="122" t="s">
        <v>232</v>
      </c>
      <c r="O48" s="122" t="s">
        <v>232</v>
      </c>
      <c r="X48" s="122" t="s">
        <v>233</v>
      </c>
      <c r="Y48" s="122" t="s">
        <v>232</v>
      </c>
      <c r="AC48" s="122" t="s">
        <v>232</v>
      </c>
      <c r="AL48" s="122" t="s">
        <v>232</v>
      </c>
      <c r="AM48" s="122" t="s">
        <v>232</v>
      </c>
      <c r="AN48" s="122" t="s">
        <v>232</v>
      </c>
      <c r="AO48" s="122" t="s">
        <v>232</v>
      </c>
      <c r="AQ48" s="122" t="s">
        <v>233</v>
      </c>
      <c r="AR48" s="122" t="s">
        <v>233</v>
      </c>
      <c r="AS48" s="122" t="s">
        <v>232</v>
      </c>
      <c r="AX48" s="122" t="s">
        <v>232</v>
      </c>
      <c r="AY48" s="122" t="s">
        <v>233</v>
      </c>
      <c r="AZ48" s="122" t="s">
        <v>233</v>
      </c>
      <c r="BA48" s="122" t="s">
        <v>233</v>
      </c>
      <c r="BB48" s="122" t="s">
        <v>233</v>
      </c>
      <c r="BC48" s="122" t="s">
        <v>233</v>
      </c>
      <c r="BD48" s="122" t="s">
        <v>233</v>
      </c>
      <c r="BE48" s="122" t="s">
        <v>232</v>
      </c>
      <c r="BF48" s="122" t="s">
        <v>233</v>
      </c>
      <c r="BG48" s="122" t="s">
        <v>232</v>
      </c>
      <c r="BH48" s="122" t="s">
        <v>233</v>
      </c>
      <c r="BI48" s="122" t="s">
        <v>233</v>
      </c>
      <c r="BJ48" s="122" t="s">
        <v>233</v>
      </c>
      <c r="BK48" s="122" t="s">
        <v>233</v>
      </c>
      <c r="BL48" s="122" t="s">
        <v>233</v>
      </c>
      <c r="BM48" s="122" t="s">
        <v>233</v>
      </c>
    </row>
    <row r="49">
      <c r="A49" s="127">
        <v>45990.0</v>
      </c>
      <c r="C49" s="122" t="s">
        <v>232</v>
      </c>
      <c r="D49" s="122" t="s">
        <v>232</v>
      </c>
      <c r="E49" s="122" t="s">
        <v>232</v>
      </c>
      <c r="F49" s="122" t="s">
        <v>232</v>
      </c>
      <c r="H49" s="122" t="s">
        <v>233</v>
      </c>
      <c r="K49" s="122" t="s">
        <v>232</v>
      </c>
      <c r="M49" s="122" t="s">
        <v>233</v>
      </c>
      <c r="O49" s="122" t="s">
        <v>232</v>
      </c>
      <c r="S49" s="122" t="s">
        <v>233</v>
      </c>
      <c r="T49" s="122" t="s">
        <v>233</v>
      </c>
      <c r="U49" s="122" t="s">
        <v>232</v>
      </c>
      <c r="X49" s="122" t="s">
        <v>233</v>
      </c>
      <c r="Y49" s="122" t="s">
        <v>233</v>
      </c>
      <c r="AC49" s="122" t="s">
        <v>232</v>
      </c>
      <c r="AE49" s="122" t="s">
        <v>232</v>
      </c>
      <c r="AJ49" s="122" t="s">
        <v>233</v>
      </c>
      <c r="AL49" s="122" t="s">
        <v>232</v>
      </c>
      <c r="AM49" s="122" t="s">
        <v>232</v>
      </c>
      <c r="AN49" s="122" t="s">
        <v>232</v>
      </c>
      <c r="AO49" s="122" t="s">
        <v>232</v>
      </c>
      <c r="AQ49" s="122" t="s">
        <v>233</v>
      </c>
      <c r="AR49" s="122" t="s">
        <v>233</v>
      </c>
      <c r="AS49" s="122" t="s">
        <v>233</v>
      </c>
      <c r="AV49" s="122" t="s">
        <v>233</v>
      </c>
      <c r="AX49" s="122" t="s">
        <v>232</v>
      </c>
      <c r="AY49" s="122" t="s">
        <v>234</v>
      </c>
      <c r="AZ49" s="122" t="s">
        <v>234</v>
      </c>
      <c r="BA49" s="122" t="s">
        <v>234</v>
      </c>
      <c r="BB49" s="122" t="s">
        <v>233</v>
      </c>
      <c r="BC49" s="122" t="s">
        <v>233</v>
      </c>
      <c r="BD49" s="122" t="s">
        <v>233</v>
      </c>
      <c r="BE49" s="122" t="s">
        <v>233</v>
      </c>
      <c r="BF49" s="122" t="s">
        <v>234</v>
      </c>
      <c r="BG49" s="122" t="s">
        <v>232</v>
      </c>
      <c r="BH49" s="122" t="s">
        <v>234</v>
      </c>
      <c r="BI49" s="122" t="s">
        <v>234</v>
      </c>
      <c r="BJ49" s="122" t="s">
        <v>233</v>
      </c>
      <c r="BK49" s="122" t="s">
        <v>233</v>
      </c>
      <c r="BL49" s="122" t="s">
        <v>233</v>
      </c>
      <c r="BM49" s="122" t="s">
        <v>233</v>
      </c>
    </row>
    <row r="50">
      <c r="A50" s="127">
        <v>45991.0</v>
      </c>
      <c r="C50" s="122" t="s">
        <v>232</v>
      </c>
      <c r="D50" s="122" t="s">
        <v>232</v>
      </c>
      <c r="E50" s="122" t="s">
        <v>232</v>
      </c>
      <c r="F50" s="122" t="s">
        <v>232</v>
      </c>
      <c r="H50" s="122" t="s">
        <v>233</v>
      </c>
      <c r="K50" s="122" t="s">
        <v>232</v>
      </c>
      <c r="M50" s="122" t="s">
        <v>233</v>
      </c>
      <c r="O50" s="122" t="s">
        <v>233</v>
      </c>
      <c r="P50" s="122" t="s">
        <v>233</v>
      </c>
      <c r="Q50" s="122" t="s">
        <v>233</v>
      </c>
      <c r="R50" s="122" t="s">
        <v>233</v>
      </c>
      <c r="S50" s="122" t="s">
        <v>233</v>
      </c>
      <c r="T50" s="122" t="s">
        <v>233</v>
      </c>
      <c r="U50" s="122" t="s">
        <v>233</v>
      </c>
      <c r="Z50" s="122" t="s">
        <v>232</v>
      </c>
      <c r="AC50" s="122" t="s">
        <v>232</v>
      </c>
      <c r="AE50" s="122" t="s">
        <v>232</v>
      </c>
      <c r="AJ50" s="122" t="s">
        <v>233</v>
      </c>
      <c r="AL50" s="122" t="s">
        <v>232</v>
      </c>
      <c r="AM50" s="122" t="s">
        <v>232</v>
      </c>
      <c r="AN50" s="122" t="s">
        <v>232</v>
      </c>
      <c r="AO50" s="122" t="s">
        <v>232</v>
      </c>
      <c r="AQ50" s="122" t="s">
        <v>233</v>
      </c>
      <c r="AR50" s="122" t="s">
        <v>233</v>
      </c>
      <c r="AS50" s="122" t="s">
        <v>233</v>
      </c>
      <c r="AV50" s="122" t="s">
        <v>233</v>
      </c>
      <c r="AX50" s="122" t="s">
        <v>232</v>
      </c>
      <c r="AY50" s="122" t="s">
        <v>233</v>
      </c>
      <c r="AZ50" s="122" t="s">
        <v>233</v>
      </c>
      <c r="BA50" s="122" t="s">
        <v>233</v>
      </c>
      <c r="BB50" s="122" t="s">
        <v>234</v>
      </c>
      <c r="BC50" s="122" t="s">
        <v>234</v>
      </c>
      <c r="BD50" s="122" t="s">
        <v>234</v>
      </c>
      <c r="BE50" s="122" t="s">
        <v>234</v>
      </c>
      <c r="BF50" s="122" t="s">
        <v>233</v>
      </c>
      <c r="BG50" s="122" t="s">
        <v>232</v>
      </c>
      <c r="BH50" s="122" t="s">
        <v>233</v>
      </c>
      <c r="BI50" s="122" t="s">
        <v>233</v>
      </c>
    </row>
    <row r="51">
      <c r="A51" s="127">
        <v>45992.0</v>
      </c>
      <c r="C51" s="122" t="s">
        <v>234</v>
      </c>
      <c r="D51" s="122" t="s">
        <v>234</v>
      </c>
      <c r="E51" s="122" t="s">
        <v>234</v>
      </c>
      <c r="F51" s="122" t="s">
        <v>234</v>
      </c>
      <c r="G51" s="122" t="s">
        <v>232</v>
      </c>
      <c r="H51" s="122" t="s">
        <v>234</v>
      </c>
      <c r="I51" s="122" t="s">
        <v>232</v>
      </c>
      <c r="K51" s="122" t="s">
        <v>234</v>
      </c>
      <c r="M51" s="122" t="s">
        <v>234</v>
      </c>
      <c r="O51" s="122" t="s">
        <v>233</v>
      </c>
      <c r="P51" s="122" t="s">
        <v>233</v>
      </c>
      <c r="Q51" s="122" t="s">
        <v>233</v>
      </c>
      <c r="R51" s="122" t="s">
        <v>233</v>
      </c>
      <c r="S51" s="122" t="s">
        <v>234</v>
      </c>
      <c r="T51" s="122" t="s">
        <v>234</v>
      </c>
      <c r="U51" s="122" t="s">
        <v>234</v>
      </c>
      <c r="W51" s="122" t="s">
        <v>233</v>
      </c>
      <c r="AC51" s="122" t="s">
        <v>232</v>
      </c>
      <c r="AD51" s="122" t="s">
        <v>232</v>
      </c>
      <c r="AG51" s="122" t="s">
        <v>233</v>
      </c>
      <c r="AJ51" s="122" t="s">
        <v>234</v>
      </c>
      <c r="AL51" s="122" t="s">
        <v>232</v>
      </c>
      <c r="AN51" s="122" t="s">
        <v>232</v>
      </c>
      <c r="AO51" s="122" t="s">
        <v>232</v>
      </c>
      <c r="AQ51" s="122" t="s">
        <v>233</v>
      </c>
      <c r="AR51" s="122" t="s">
        <v>234</v>
      </c>
      <c r="AS51" s="122" t="s">
        <v>233</v>
      </c>
      <c r="AV51" s="122" t="s">
        <v>234</v>
      </c>
      <c r="AX51" s="122" t="s">
        <v>232</v>
      </c>
      <c r="AY51" s="122" t="s">
        <v>232</v>
      </c>
      <c r="AZ51" s="122" t="s">
        <v>233</v>
      </c>
      <c r="BA51" s="122" t="s">
        <v>233</v>
      </c>
      <c r="BB51" s="122" t="s">
        <v>233</v>
      </c>
      <c r="BC51" s="122" t="s">
        <v>233</v>
      </c>
      <c r="BD51" s="122" t="s">
        <v>233</v>
      </c>
      <c r="BE51" s="122" t="s">
        <v>233</v>
      </c>
      <c r="BF51" s="122" t="s">
        <v>234</v>
      </c>
      <c r="BG51" s="122" t="s">
        <v>232</v>
      </c>
      <c r="BH51" s="122" t="s">
        <v>233</v>
      </c>
      <c r="BI51" s="122" t="s">
        <v>233</v>
      </c>
    </row>
    <row r="52">
      <c r="A52" s="127">
        <v>45993.0</v>
      </c>
      <c r="C52" s="122" t="s">
        <v>233</v>
      </c>
      <c r="D52" s="122" t="s">
        <v>233</v>
      </c>
      <c r="E52" s="122" t="s">
        <v>233</v>
      </c>
      <c r="F52" s="122" t="s">
        <v>233</v>
      </c>
      <c r="G52" s="122" t="s">
        <v>232</v>
      </c>
      <c r="H52" s="122" t="s">
        <v>233</v>
      </c>
      <c r="I52" s="122" t="s">
        <v>232</v>
      </c>
      <c r="K52" s="122" t="s">
        <v>233</v>
      </c>
      <c r="M52" s="122" t="s">
        <v>233</v>
      </c>
      <c r="O52" s="122" t="s">
        <v>234</v>
      </c>
      <c r="P52" s="122" t="s">
        <v>234</v>
      </c>
      <c r="Q52" s="122" t="s">
        <v>234</v>
      </c>
      <c r="R52" s="122" t="s">
        <v>234</v>
      </c>
      <c r="S52" s="122" t="s">
        <v>233</v>
      </c>
      <c r="T52" s="122" t="s">
        <v>233</v>
      </c>
      <c r="U52" s="122" t="s">
        <v>233</v>
      </c>
      <c r="W52" s="122" t="s">
        <v>233</v>
      </c>
      <c r="AA52" s="122" t="s">
        <v>233</v>
      </c>
      <c r="AB52" s="122" t="s">
        <v>233</v>
      </c>
      <c r="AC52" s="122" t="s">
        <v>232</v>
      </c>
      <c r="AD52" s="122" t="s">
        <v>233</v>
      </c>
      <c r="AE52" s="122" t="s">
        <v>233</v>
      </c>
      <c r="AF52" s="122" t="s">
        <v>233</v>
      </c>
      <c r="AG52" s="122" t="s">
        <v>233</v>
      </c>
      <c r="AH52" s="122" t="s">
        <v>233</v>
      </c>
      <c r="AI52" s="122" t="s">
        <v>233</v>
      </c>
      <c r="AJ52" s="122" t="s">
        <v>233</v>
      </c>
      <c r="AK52" s="122" t="s">
        <v>233</v>
      </c>
      <c r="AL52" s="122" t="s">
        <v>233</v>
      </c>
      <c r="AN52" s="122" t="s">
        <v>232</v>
      </c>
      <c r="AO52" s="122" t="s">
        <v>232</v>
      </c>
      <c r="AQ52" s="122" t="s">
        <v>234</v>
      </c>
      <c r="AR52" s="122" t="s">
        <v>234</v>
      </c>
      <c r="AS52" s="122" t="s">
        <v>234</v>
      </c>
      <c r="AV52" s="122" t="s">
        <v>233</v>
      </c>
      <c r="AX52" s="122" t="s">
        <v>232</v>
      </c>
      <c r="BB52" s="122" t="s">
        <v>233</v>
      </c>
      <c r="BC52" s="122" t="s">
        <v>233</v>
      </c>
      <c r="BD52" s="122" t="s">
        <v>233</v>
      </c>
      <c r="BE52" s="122" t="s">
        <v>233</v>
      </c>
      <c r="BF52" s="122" t="s">
        <v>233</v>
      </c>
      <c r="BG52" s="122" t="s">
        <v>232</v>
      </c>
    </row>
    <row r="53">
      <c r="A53" s="127">
        <v>45994.0</v>
      </c>
      <c r="C53" s="122" t="s">
        <v>233</v>
      </c>
      <c r="D53" s="122" t="s">
        <v>233</v>
      </c>
      <c r="E53" s="122" t="s">
        <v>233</v>
      </c>
      <c r="F53" s="122" t="s">
        <v>233</v>
      </c>
      <c r="G53" s="122" t="s">
        <v>232</v>
      </c>
      <c r="H53" s="122" t="s">
        <v>233</v>
      </c>
      <c r="I53" s="122" t="s">
        <v>232</v>
      </c>
      <c r="J53" s="122" t="s">
        <v>233</v>
      </c>
      <c r="K53" s="122" t="s">
        <v>233</v>
      </c>
      <c r="L53" s="122" t="s">
        <v>233</v>
      </c>
      <c r="M53" s="122" t="s">
        <v>233</v>
      </c>
      <c r="N53" s="122" t="s">
        <v>233</v>
      </c>
      <c r="O53" s="122" t="s">
        <v>233</v>
      </c>
      <c r="P53" s="122" t="s">
        <v>233</v>
      </c>
      <c r="Q53" s="122" t="s">
        <v>233</v>
      </c>
      <c r="R53" s="122" t="s">
        <v>233</v>
      </c>
      <c r="S53" s="122" t="s">
        <v>233</v>
      </c>
      <c r="T53" s="122" t="s">
        <v>233</v>
      </c>
      <c r="U53" s="122" t="s">
        <v>233</v>
      </c>
      <c r="W53" s="122" t="s">
        <v>234</v>
      </c>
      <c r="AA53" s="122" t="s">
        <v>233</v>
      </c>
      <c r="AB53" s="122" t="s">
        <v>233</v>
      </c>
      <c r="AC53" s="122" t="s">
        <v>232</v>
      </c>
      <c r="AD53" s="122" t="s">
        <v>233</v>
      </c>
      <c r="AE53" s="122" t="s">
        <v>233</v>
      </c>
      <c r="AF53" s="122" t="s">
        <v>233</v>
      </c>
      <c r="AG53" s="122" t="s">
        <v>234</v>
      </c>
      <c r="AH53" s="122" t="s">
        <v>233</v>
      </c>
      <c r="AI53" s="122" t="s">
        <v>233</v>
      </c>
      <c r="AJ53" s="122" t="s">
        <v>233</v>
      </c>
      <c r="AK53" s="122" t="s">
        <v>233</v>
      </c>
      <c r="AL53" s="122" t="s">
        <v>233</v>
      </c>
      <c r="AN53" s="122" t="s">
        <v>234</v>
      </c>
      <c r="AO53" s="122" t="s">
        <v>232</v>
      </c>
      <c r="AQ53" s="122" t="s">
        <v>233</v>
      </c>
      <c r="AR53" s="122" t="s">
        <v>233</v>
      </c>
      <c r="AS53" s="122" t="s">
        <v>233</v>
      </c>
      <c r="AV53" s="122" t="s">
        <v>233</v>
      </c>
      <c r="AX53" s="122" t="s">
        <v>232</v>
      </c>
      <c r="BF53" s="122" t="s">
        <v>232</v>
      </c>
      <c r="BG53" s="122" t="s">
        <v>232</v>
      </c>
    </row>
    <row r="54">
      <c r="A54" s="127">
        <v>45995.0</v>
      </c>
      <c r="C54" s="122" t="s">
        <v>234</v>
      </c>
      <c r="D54" s="122" t="s">
        <v>234</v>
      </c>
      <c r="E54" s="122" t="s">
        <v>234</v>
      </c>
      <c r="F54" s="122" t="s">
        <v>234</v>
      </c>
      <c r="G54" s="122" t="s">
        <v>232</v>
      </c>
      <c r="H54" s="122" t="s">
        <v>232</v>
      </c>
      <c r="I54" s="122" t="s">
        <v>232</v>
      </c>
      <c r="J54" s="122" t="s">
        <v>233</v>
      </c>
      <c r="K54" s="122" t="s">
        <v>233</v>
      </c>
      <c r="L54" s="122" t="s">
        <v>233</v>
      </c>
      <c r="M54" s="122" t="s">
        <v>233</v>
      </c>
      <c r="N54" s="122" t="s">
        <v>233</v>
      </c>
      <c r="O54" s="122" t="s">
        <v>233</v>
      </c>
      <c r="P54" s="122" t="s">
        <v>233</v>
      </c>
      <c r="Q54" s="122" t="s">
        <v>233</v>
      </c>
      <c r="R54" s="122" t="s">
        <v>233</v>
      </c>
      <c r="W54" s="122" t="s">
        <v>233</v>
      </c>
      <c r="AA54" s="122" t="s">
        <v>234</v>
      </c>
      <c r="AB54" s="122" t="s">
        <v>234</v>
      </c>
      <c r="AC54" s="122" t="s">
        <v>232</v>
      </c>
      <c r="AD54" s="122" t="s">
        <v>234</v>
      </c>
      <c r="AE54" s="122" t="s">
        <v>234</v>
      </c>
      <c r="AF54" s="122" t="s">
        <v>234</v>
      </c>
      <c r="AG54" s="122" t="s">
        <v>234</v>
      </c>
      <c r="AH54" s="122" t="s">
        <v>234</v>
      </c>
      <c r="AI54" s="122" t="s">
        <v>234</v>
      </c>
      <c r="AJ54" s="122" t="s">
        <v>234</v>
      </c>
      <c r="AK54" s="122" t="s">
        <v>234</v>
      </c>
      <c r="AL54" s="122" t="s">
        <v>234</v>
      </c>
      <c r="AN54" s="122" t="s">
        <v>233</v>
      </c>
      <c r="AO54" s="122" t="s">
        <v>232</v>
      </c>
      <c r="AQ54" s="122" t="s">
        <v>233</v>
      </c>
      <c r="AR54" s="122" t="s">
        <v>233</v>
      </c>
      <c r="AS54" s="122" t="s">
        <v>233</v>
      </c>
      <c r="AX54" s="122" t="s">
        <v>232</v>
      </c>
      <c r="BF54" s="122" t="s">
        <v>232</v>
      </c>
      <c r="BG54" s="122" t="s">
        <v>232</v>
      </c>
    </row>
    <row r="55">
      <c r="A55" s="127">
        <v>45996.0</v>
      </c>
      <c r="C55" s="122" t="s">
        <v>233</v>
      </c>
      <c r="D55" s="122" t="s">
        <v>233</v>
      </c>
      <c r="E55" s="122" t="s">
        <v>233</v>
      </c>
      <c r="F55" s="122" t="s">
        <v>233</v>
      </c>
      <c r="G55" s="122" t="s">
        <v>234</v>
      </c>
      <c r="H55" s="122" t="s">
        <v>234</v>
      </c>
      <c r="I55" s="122" t="s">
        <v>234</v>
      </c>
      <c r="J55" s="122" t="s">
        <v>234</v>
      </c>
      <c r="K55" s="122" t="s">
        <v>234</v>
      </c>
      <c r="L55" s="122" t="s">
        <v>234</v>
      </c>
      <c r="M55" s="122" t="s">
        <v>234</v>
      </c>
      <c r="N55" s="122" t="s">
        <v>234</v>
      </c>
      <c r="O55" s="122" t="s">
        <v>232</v>
      </c>
      <c r="U55" s="122" t="s">
        <v>232</v>
      </c>
      <c r="W55" s="122" t="s">
        <v>233</v>
      </c>
      <c r="Y55" s="122" t="s">
        <v>232</v>
      </c>
      <c r="AA55" s="122" t="s">
        <v>233</v>
      </c>
      <c r="AB55" s="122" t="s">
        <v>233</v>
      </c>
      <c r="AC55" s="122" t="s">
        <v>232</v>
      </c>
      <c r="AD55" s="122" t="s">
        <v>233</v>
      </c>
      <c r="AE55" s="122" t="s">
        <v>233</v>
      </c>
      <c r="AF55" s="122" t="s">
        <v>233</v>
      </c>
      <c r="AG55" s="122" t="s">
        <v>232</v>
      </c>
      <c r="AH55" s="122" t="s">
        <v>233</v>
      </c>
      <c r="AI55" s="122" t="s">
        <v>233</v>
      </c>
      <c r="AJ55" s="122" t="s">
        <v>233</v>
      </c>
      <c r="AK55" s="122" t="s">
        <v>233</v>
      </c>
      <c r="AL55" s="122" t="s">
        <v>233</v>
      </c>
      <c r="AN55" s="122" t="s">
        <v>233</v>
      </c>
      <c r="AO55" s="122" t="s">
        <v>232</v>
      </c>
      <c r="AX55" s="122" t="s">
        <v>232</v>
      </c>
      <c r="BB55" s="122" t="s">
        <v>232</v>
      </c>
      <c r="BG55" s="122" t="s">
        <v>232</v>
      </c>
    </row>
    <row r="56">
      <c r="A56" s="127">
        <v>45997.0</v>
      </c>
      <c r="C56" s="122" t="s">
        <v>232</v>
      </c>
      <c r="D56" s="122" t="s">
        <v>232</v>
      </c>
      <c r="E56" s="122" t="s">
        <v>232</v>
      </c>
      <c r="F56" s="122" t="s">
        <v>232</v>
      </c>
      <c r="G56" s="122" t="s">
        <v>233</v>
      </c>
      <c r="H56" s="122" t="s">
        <v>233</v>
      </c>
      <c r="I56" s="122" t="s">
        <v>233</v>
      </c>
      <c r="J56" s="122" t="s">
        <v>233</v>
      </c>
      <c r="K56" s="122" t="s">
        <v>233</v>
      </c>
      <c r="L56" s="122" t="s">
        <v>233</v>
      </c>
      <c r="M56" s="122" t="s">
        <v>233</v>
      </c>
      <c r="N56" s="122" t="s">
        <v>233</v>
      </c>
      <c r="O56" s="122" t="s">
        <v>232</v>
      </c>
      <c r="V56" s="122" t="s">
        <v>233</v>
      </c>
      <c r="AA56" s="122" t="s">
        <v>233</v>
      </c>
      <c r="AB56" s="122" t="s">
        <v>233</v>
      </c>
      <c r="AC56" s="122" t="s">
        <v>232</v>
      </c>
      <c r="AD56" s="122" t="s">
        <v>233</v>
      </c>
      <c r="AE56" s="122" t="s">
        <v>232</v>
      </c>
      <c r="AF56" s="122" t="s">
        <v>233</v>
      </c>
      <c r="AG56" s="122" t="s">
        <v>232</v>
      </c>
      <c r="AH56" s="122" t="s">
        <v>233</v>
      </c>
      <c r="AI56" s="122" t="s">
        <v>233</v>
      </c>
      <c r="AJ56" s="122" t="s">
        <v>233</v>
      </c>
      <c r="AK56" s="122" t="s">
        <v>233</v>
      </c>
      <c r="AL56" s="122" t="s">
        <v>233</v>
      </c>
      <c r="AN56" s="122" t="s">
        <v>233</v>
      </c>
      <c r="AO56" s="122" t="s">
        <v>232</v>
      </c>
      <c r="AQ56" s="122" t="s">
        <v>233</v>
      </c>
      <c r="AR56" s="122" t="s">
        <v>233</v>
      </c>
      <c r="AS56" s="122" t="s">
        <v>233</v>
      </c>
      <c r="AX56" s="122" t="s">
        <v>232</v>
      </c>
      <c r="AZ56" s="122" t="s">
        <v>232</v>
      </c>
      <c r="BB56" s="122" t="s">
        <v>232</v>
      </c>
      <c r="BE56" s="122" t="s">
        <v>232</v>
      </c>
      <c r="BG56" s="122" t="s">
        <v>232</v>
      </c>
      <c r="BJ56" s="122" t="s">
        <v>233</v>
      </c>
      <c r="BK56" s="122" t="s">
        <v>233</v>
      </c>
      <c r="BL56" s="122" t="s">
        <v>233</v>
      </c>
      <c r="BM56" s="122" t="s">
        <v>233</v>
      </c>
    </row>
    <row r="57">
      <c r="A57" s="127">
        <v>45998.0</v>
      </c>
      <c r="C57" s="122" t="s">
        <v>232</v>
      </c>
      <c r="D57" s="122" t="s">
        <v>232</v>
      </c>
      <c r="E57" s="122" t="s">
        <v>232</v>
      </c>
      <c r="F57" s="122" t="s">
        <v>232</v>
      </c>
      <c r="G57" s="122" t="s">
        <v>233</v>
      </c>
      <c r="H57" s="122" t="s">
        <v>233</v>
      </c>
      <c r="I57" s="122" t="s">
        <v>233</v>
      </c>
      <c r="J57" s="122" t="s">
        <v>233</v>
      </c>
      <c r="K57" s="122" t="s">
        <v>233</v>
      </c>
      <c r="L57" s="122" t="s">
        <v>233</v>
      </c>
      <c r="M57" s="122" t="s">
        <v>233</v>
      </c>
      <c r="N57" s="122" t="s">
        <v>233</v>
      </c>
      <c r="U57" s="122" t="s">
        <v>233</v>
      </c>
      <c r="V57" s="122" t="s">
        <v>233</v>
      </c>
      <c r="W57" s="122" t="s">
        <v>233</v>
      </c>
      <c r="X57" s="122" t="s">
        <v>233</v>
      </c>
      <c r="Y57" s="122" t="s">
        <v>233</v>
      </c>
      <c r="Z57" s="122" t="s">
        <v>233</v>
      </c>
      <c r="AC57" s="122" t="s">
        <v>232</v>
      </c>
      <c r="AE57" s="122" t="s">
        <v>232</v>
      </c>
      <c r="AF57" s="122" t="s">
        <v>233</v>
      </c>
      <c r="AG57" s="122" t="s">
        <v>232</v>
      </c>
      <c r="AH57" s="122" t="s">
        <v>233</v>
      </c>
      <c r="AN57" s="122" t="s">
        <v>233</v>
      </c>
      <c r="AO57" s="122" t="s">
        <v>232</v>
      </c>
      <c r="AQ57" s="122" t="s">
        <v>233</v>
      </c>
      <c r="AR57" s="122" t="s">
        <v>233</v>
      </c>
      <c r="AS57" s="122" t="s">
        <v>232</v>
      </c>
      <c r="AX57" s="122" t="s">
        <v>232</v>
      </c>
      <c r="AZ57" s="122" t="s">
        <v>232</v>
      </c>
      <c r="BB57" s="122" t="s">
        <v>232</v>
      </c>
      <c r="BG57" s="122" t="s">
        <v>232</v>
      </c>
      <c r="BJ57" s="122" t="s">
        <v>233</v>
      </c>
      <c r="BK57" s="122" t="s">
        <v>233</v>
      </c>
      <c r="BL57" s="122" t="s">
        <v>233</v>
      </c>
      <c r="BM57" s="122" t="s">
        <v>233</v>
      </c>
    </row>
    <row r="58">
      <c r="A58" s="127">
        <v>45999.0</v>
      </c>
      <c r="D58" s="122" t="s">
        <v>234</v>
      </c>
      <c r="E58" s="122" t="s">
        <v>234</v>
      </c>
      <c r="H58" s="122" t="s">
        <v>233</v>
      </c>
      <c r="I58" s="122" t="s">
        <v>233</v>
      </c>
      <c r="M58" s="122" t="s">
        <v>233</v>
      </c>
      <c r="N58" s="122" t="s">
        <v>234</v>
      </c>
      <c r="U58" s="122" t="s">
        <v>233</v>
      </c>
      <c r="V58" s="122" t="s">
        <v>234</v>
      </c>
      <c r="W58" s="122" t="s">
        <v>233</v>
      </c>
      <c r="X58" s="122" t="s">
        <v>233</v>
      </c>
      <c r="Y58" s="122" t="s">
        <v>233</v>
      </c>
      <c r="Z58" s="122" t="s">
        <v>233</v>
      </c>
      <c r="AC58" s="122" t="s">
        <v>232</v>
      </c>
      <c r="AD58" s="122" t="s">
        <v>232</v>
      </c>
      <c r="AE58" s="122" t="s">
        <v>233</v>
      </c>
      <c r="AF58" s="122" t="s">
        <v>233</v>
      </c>
      <c r="AG58" s="122" t="s">
        <v>232</v>
      </c>
      <c r="AH58" s="122" t="s">
        <v>233</v>
      </c>
      <c r="AN58" s="122" t="s">
        <v>234</v>
      </c>
      <c r="AO58" s="122" t="s">
        <v>232</v>
      </c>
      <c r="AQ58" s="122" t="s">
        <v>234</v>
      </c>
      <c r="AR58" s="122" t="s">
        <v>234</v>
      </c>
      <c r="AS58" s="122" t="s">
        <v>234</v>
      </c>
      <c r="AX58" s="122" t="s">
        <v>232</v>
      </c>
      <c r="AY58" s="122" t="s">
        <v>232</v>
      </c>
      <c r="AZ58" s="122" t="s">
        <v>232</v>
      </c>
      <c r="BA58" s="122" t="s">
        <v>233</v>
      </c>
      <c r="BB58" s="122" t="s">
        <v>232</v>
      </c>
      <c r="BG58" s="122" t="s">
        <v>232</v>
      </c>
      <c r="BJ58" s="122" t="s">
        <v>234</v>
      </c>
      <c r="BK58" s="122" t="s">
        <v>234</v>
      </c>
      <c r="BL58" s="122" t="s">
        <v>234</v>
      </c>
      <c r="BM58" s="122" t="s">
        <v>234</v>
      </c>
      <c r="BN58" s="122" t="s">
        <v>233</v>
      </c>
      <c r="BO58" s="122" t="s">
        <v>233</v>
      </c>
    </row>
    <row r="59">
      <c r="A59" s="127">
        <v>46000.0</v>
      </c>
      <c r="C59" s="122" t="s">
        <v>233</v>
      </c>
      <c r="D59" s="122" t="s">
        <v>233</v>
      </c>
      <c r="E59" s="122" t="s">
        <v>233</v>
      </c>
      <c r="F59" s="122" t="s">
        <v>233</v>
      </c>
      <c r="H59" s="122" t="s">
        <v>234</v>
      </c>
      <c r="I59" s="122" t="s">
        <v>234</v>
      </c>
      <c r="M59" s="122" t="s">
        <v>234</v>
      </c>
      <c r="N59" s="122" t="s">
        <v>233</v>
      </c>
      <c r="U59" s="122" t="s">
        <v>234</v>
      </c>
      <c r="V59" s="122" t="s">
        <v>232</v>
      </c>
      <c r="W59" s="122" t="s">
        <v>234</v>
      </c>
      <c r="X59" s="122" t="s">
        <v>234</v>
      </c>
      <c r="Y59" s="122" t="s">
        <v>234</v>
      </c>
      <c r="Z59" s="122" t="s">
        <v>234</v>
      </c>
      <c r="AD59" s="122" t="s">
        <v>233</v>
      </c>
      <c r="AE59" s="122" t="s">
        <v>234</v>
      </c>
      <c r="AF59" s="122" t="s">
        <v>234</v>
      </c>
      <c r="AG59" s="122" t="s">
        <v>234</v>
      </c>
      <c r="AH59" s="122" t="s">
        <v>234</v>
      </c>
      <c r="AN59" s="122" t="s">
        <v>233</v>
      </c>
      <c r="AO59" s="122" t="s">
        <v>232</v>
      </c>
      <c r="AP59" s="122" t="s">
        <v>233</v>
      </c>
      <c r="AQ59" s="122" t="s">
        <v>233</v>
      </c>
      <c r="AR59" s="122" t="s">
        <v>233</v>
      </c>
      <c r="AS59" s="122" t="s">
        <v>233</v>
      </c>
      <c r="AX59" s="122" t="s">
        <v>232</v>
      </c>
      <c r="AY59" s="122" t="s">
        <v>233</v>
      </c>
      <c r="AZ59" s="122" t="s">
        <v>233</v>
      </c>
      <c r="BA59" s="122" t="s">
        <v>233</v>
      </c>
      <c r="BG59" s="122" t="s">
        <v>232</v>
      </c>
      <c r="BJ59" s="122" t="s">
        <v>233</v>
      </c>
      <c r="BK59" s="122" t="s">
        <v>233</v>
      </c>
      <c r="BL59" s="122" t="s">
        <v>233</v>
      </c>
      <c r="BM59" s="122" t="s">
        <v>233</v>
      </c>
      <c r="BN59" s="122" t="s">
        <v>233</v>
      </c>
      <c r="BO59" s="122" t="s">
        <v>233</v>
      </c>
    </row>
    <row r="60">
      <c r="A60" s="127">
        <v>46001.0</v>
      </c>
      <c r="C60" s="122" t="s">
        <v>233</v>
      </c>
      <c r="D60" s="122" t="s">
        <v>233</v>
      </c>
      <c r="E60" s="122" t="s">
        <v>233</v>
      </c>
      <c r="F60" s="122" t="s">
        <v>233</v>
      </c>
      <c r="H60" s="122" t="s">
        <v>233</v>
      </c>
      <c r="I60" s="122" t="s">
        <v>233</v>
      </c>
      <c r="M60" s="122" t="s">
        <v>233</v>
      </c>
      <c r="N60" s="122" t="s">
        <v>233</v>
      </c>
      <c r="U60" s="122" t="s">
        <v>233</v>
      </c>
      <c r="V60" s="122" t="s">
        <v>232</v>
      </c>
      <c r="W60" s="122" t="s">
        <v>233</v>
      </c>
      <c r="X60" s="122" t="s">
        <v>233</v>
      </c>
      <c r="Y60" s="122" t="s">
        <v>232</v>
      </c>
      <c r="Z60" s="122" t="s">
        <v>233</v>
      </c>
      <c r="AC60" s="122" t="s">
        <v>232</v>
      </c>
      <c r="AD60" s="122" t="s">
        <v>233</v>
      </c>
      <c r="AE60" s="122" t="s">
        <v>233</v>
      </c>
      <c r="AF60" s="122" t="s">
        <v>233</v>
      </c>
      <c r="AG60" s="122" t="s">
        <v>233</v>
      </c>
      <c r="AH60" s="122" t="s">
        <v>233</v>
      </c>
      <c r="AN60" s="122" t="s">
        <v>233</v>
      </c>
      <c r="AO60" s="122" t="s">
        <v>232</v>
      </c>
      <c r="AP60" s="122" t="s">
        <v>233</v>
      </c>
      <c r="AQ60" s="122" t="s">
        <v>233</v>
      </c>
      <c r="AR60" s="122" t="s">
        <v>233</v>
      </c>
      <c r="AS60" s="122" t="s">
        <v>233</v>
      </c>
      <c r="AX60" s="122" t="s">
        <v>232</v>
      </c>
      <c r="AY60" s="122" t="s">
        <v>234</v>
      </c>
      <c r="AZ60" s="122" t="s">
        <v>234</v>
      </c>
      <c r="BA60" s="122" t="s">
        <v>234</v>
      </c>
      <c r="BD60" s="122" t="s">
        <v>232</v>
      </c>
      <c r="BG60" s="122" t="s">
        <v>232</v>
      </c>
      <c r="BJ60" s="122" t="s">
        <v>233</v>
      </c>
      <c r="BK60" s="122" t="s">
        <v>233</v>
      </c>
      <c r="BL60" s="122" t="s">
        <v>234</v>
      </c>
      <c r="BM60" s="122" t="s">
        <v>234</v>
      </c>
      <c r="BN60" s="122" t="s">
        <v>234</v>
      </c>
      <c r="BO60" s="122" t="s">
        <v>234</v>
      </c>
    </row>
    <row r="61">
      <c r="A61" s="127">
        <v>46002.0</v>
      </c>
      <c r="C61" s="122" t="s">
        <v>234</v>
      </c>
      <c r="D61" s="122" t="s">
        <v>234</v>
      </c>
      <c r="E61" s="122" t="s">
        <v>234</v>
      </c>
      <c r="F61" s="122" t="s">
        <v>234</v>
      </c>
      <c r="G61" s="122" t="s">
        <v>232</v>
      </c>
      <c r="H61" s="122" t="s">
        <v>232</v>
      </c>
      <c r="I61" s="122" t="s">
        <v>232</v>
      </c>
      <c r="M61" s="122" t="s">
        <v>233</v>
      </c>
      <c r="U61" s="122" t="s">
        <v>233</v>
      </c>
      <c r="V61" s="122" t="s">
        <v>232</v>
      </c>
      <c r="W61" s="122" t="s">
        <v>234</v>
      </c>
      <c r="X61" s="122" t="s">
        <v>234</v>
      </c>
      <c r="Y61" s="122" t="s">
        <v>232</v>
      </c>
      <c r="Z61" s="122" t="s">
        <v>234</v>
      </c>
      <c r="AD61" s="122" t="s">
        <v>234</v>
      </c>
      <c r="AE61" s="122" t="s">
        <v>233</v>
      </c>
      <c r="AF61" s="122" t="s">
        <v>233</v>
      </c>
      <c r="AG61" s="122" t="s">
        <v>233</v>
      </c>
      <c r="AH61" s="122" t="s">
        <v>233</v>
      </c>
      <c r="AO61" s="122" t="s">
        <v>232</v>
      </c>
      <c r="AP61" s="122" t="s">
        <v>234</v>
      </c>
      <c r="AQ61" s="122" t="s">
        <v>234</v>
      </c>
      <c r="AX61" s="122" t="s">
        <v>232</v>
      </c>
      <c r="AY61" s="122" t="s">
        <v>233</v>
      </c>
      <c r="AZ61" s="122" t="s">
        <v>233</v>
      </c>
      <c r="BA61" s="122" t="s">
        <v>233</v>
      </c>
      <c r="BD61" s="122" t="s">
        <v>232</v>
      </c>
      <c r="BG61" s="122" t="s">
        <v>232</v>
      </c>
      <c r="BJ61" s="122" t="s">
        <v>234</v>
      </c>
      <c r="BK61" s="122" t="s">
        <v>234</v>
      </c>
      <c r="BL61" s="122" t="s">
        <v>234</v>
      </c>
      <c r="BM61" s="122" t="s">
        <v>234</v>
      </c>
      <c r="BN61" s="122" t="s">
        <v>233</v>
      </c>
      <c r="BO61" s="122" t="s">
        <v>233</v>
      </c>
    </row>
    <row r="62">
      <c r="A62" s="127">
        <v>46003.0</v>
      </c>
      <c r="C62" s="122" t="s">
        <v>233</v>
      </c>
      <c r="D62" s="122" t="s">
        <v>233</v>
      </c>
      <c r="E62" s="122" t="s">
        <v>233</v>
      </c>
      <c r="F62" s="122" t="s">
        <v>233</v>
      </c>
      <c r="G62" s="122" t="s">
        <v>232</v>
      </c>
      <c r="H62" s="122" t="s">
        <v>232</v>
      </c>
      <c r="O62" s="122" t="s">
        <v>232</v>
      </c>
      <c r="W62" s="122" t="s">
        <v>233</v>
      </c>
      <c r="X62" s="122" t="s">
        <v>233</v>
      </c>
      <c r="Y62" s="122" t="s">
        <v>232</v>
      </c>
      <c r="Z62" s="122" t="s">
        <v>233</v>
      </c>
      <c r="AB62" s="122" t="s">
        <v>232</v>
      </c>
      <c r="AD62" s="122" t="s">
        <v>233</v>
      </c>
      <c r="AF62" s="122" t="s">
        <v>233</v>
      </c>
      <c r="AG62" s="122" t="s">
        <v>233</v>
      </c>
      <c r="AH62" s="122" t="s">
        <v>233</v>
      </c>
      <c r="AO62" s="122" t="s">
        <v>232</v>
      </c>
      <c r="AP62" s="122" t="s">
        <v>233</v>
      </c>
      <c r="AQ62" s="122" t="s">
        <v>233</v>
      </c>
      <c r="AX62" s="122" t="s">
        <v>232</v>
      </c>
      <c r="AY62" s="122" t="s">
        <v>233</v>
      </c>
      <c r="AZ62" s="122" t="s">
        <v>233</v>
      </c>
      <c r="BA62" s="122" t="s">
        <v>233</v>
      </c>
      <c r="BD62" s="122" t="s">
        <v>232</v>
      </c>
      <c r="BG62" s="122" t="s">
        <v>232</v>
      </c>
      <c r="BJ62" s="122" t="s">
        <v>233</v>
      </c>
      <c r="BK62" s="122" t="s">
        <v>233</v>
      </c>
      <c r="BL62" s="122" t="s">
        <v>233</v>
      </c>
      <c r="BM62" s="122" t="s">
        <v>233</v>
      </c>
      <c r="BN62" s="122" t="s">
        <v>233</v>
      </c>
      <c r="BO62" s="122" t="s">
        <v>233</v>
      </c>
    </row>
    <row r="63">
      <c r="A63" s="127">
        <v>46004.0</v>
      </c>
      <c r="C63" s="122" t="s">
        <v>232</v>
      </c>
      <c r="D63" s="122" t="s">
        <v>232</v>
      </c>
      <c r="E63" s="122" t="s">
        <v>232</v>
      </c>
      <c r="F63" s="122" t="s">
        <v>232</v>
      </c>
      <c r="G63" s="122" t="s">
        <v>232</v>
      </c>
      <c r="M63" s="122" t="s">
        <v>232</v>
      </c>
      <c r="O63" s="122" t="s">
        <v>232</v>
      </c>
      <c r="W63" s="122" t="s">
        <v>232</v>
      </c>
      <c r="X63" s="122" t="s">
        <v>233</v>
      </c>
      <c r="Z63" s="122" t="s">
        <v>233</v>
      </c>
      <c r="AB63" s="122" t="s">
        <v>232</v>
      </c>
      <c r="AD63" s="122" t="s">
        <v>233</v>
      </c>
      <c r="AE63" s="122" t="s">
        <v>232</v>
      </c>
      <c r="AF63" s="122" t="s">
        <v>234</v>
      </c>
      <c r="AG63" s="122" t="s">
        <v>234</v>
      </c>
      <c r="AH63" s="122" t="s">
        <v>234</v>
      </c>
      <c r="AO63" s="122" t="s">
        <v>232</v>
      </c>
      <c r="AP63" s="122" t="s">
        <v>233</v>
      </c>
      <c r="AQ63" s="122" t="s">
        <v>233</v>
      </c>
      <c r="AX63" s="122" t="s">
        <v>232</v>
      </c>
      <c r="BB63" s="122" t="s">
        <v>232</v>
      </c>
      <c r="BD63" s="122" t="s">
        <v>232</v>
      </c>
      <c r="BE63" s="122" t="s">
        <v>232</v>
      </c>
      <c r="BF63" s="122" t="s">
        <v>232</v>
      </c>
      <c r="BG63" s="122" t="s">
        <v>232</v>
      </c>
      <c r="BJ63" s="122" t="s">
        <v>233</v>
      </c>
      <c r="BK63" s="122" t="s">
        <v>233</v>
      </c>
      <c r="BL63" s="122" t="s">
        <v>233</v>
      </c>
      <c r="BM63" s="122" t="s">
        <v>233</v>
      </c>
      <c r="BO63" s="122" t="s">
        <v>232</v>
      </c>
    </row>
    <row r="64">
      <c r="A64" s="127">
        <v>46005.0</v>
      </c>
      <c r="C64" s="122" t="s">
        <v>232</v>
      </c>
      <c r="D64" s="122" t="s">
        <v>232</v>
      </c>
      <c r="E64" s="122" t="s">
        <v>232</v>
      </c>
      <c r="F64" s="122" t="s">
        <v>232</v>
      </c>
      <c r="G64" s="122" t="s">
        <v>232</v>
      </c>
      <c r="H64" s="122" t="s">
        <v>233</v>
      </c>
      <c r="I64" s="122" t="s">
        <v>233</v>
      </c>
      <c r="M64" s="122" t="s">
        <v>233</v>
      </c>
      <c r="U64" s="122" t="s">
        <v>233</v>
      </c>
      <c r="W64" s="122" t="s">
        <v>232</v>
      </c>
      <c r="X64" s="122" t="s">
        <v>233</v>
      </c>
      <c r="Y64" s="122" t="s">
        <v>233</v>
      </c>
      <c r="AA64" s="122" t="s">
        <v>233</v>
      </c>
      <c r="AB64" s="122" t="s">
        <v>232</v>
      </c>
      <c r="AC64" s="122" t="s">
        <v>233</v>
      </c>
      <c r="AD64" s="122" t="s">
        <v>233</v>
      </c>
      <c r="AE64" s="122" t="s">
        <v>232</v>
      </c>
      <c r="AF64" s="122" t="s">
        <v>233</v>
      </c>
      <c r="AG64" s="122" t="s">
        <v>233</v>
      </c>
      <c r="AH64" s="122" t="s">
        <v>233</v>
      </c>
      <c r="AI64" s="122" t="s">
        <v>233</v>
      </c>
      <c r="AJ64" s="122" t="s">
        <v>233</v>
      </c>
      <c r="AK64" s="122" t="s">
        <v>233</v>
      </c>
      <c r="AL64" s="122" t="s">
        <v>233</v>
      </c>
      <c r="AM64" s="122" t="s">
        <v>233</v>
      </c>
      <c r="AO64" s="122" t="s">
        <v>232</v>
      </c>
      <c r="AX64" s="122" t="s">
        <v>232</v>
      </c>
      <c r="BB64" s="122" t="s">
        <v>232</v>
      </c>
      <c r="BC64" s="122" t="s">
        <v>233</v>
      </c>
      <c r="BD64" s="122" t="s">
        <v>232</v>
      </c>
      <c r="BE64" s="122" t="s">
        <v>233</v>
      </c>
      <c r="BG64" s="122" t="s">
        <v>232</v>
      </c>
      <c r="BO64" s="122" t="s">
        <v>232</v>
      </c>
    </row>
    <row r="65">
      <c r="A65" s="127">
        <v>46006.0</v>
      </c>
      <c r="H65" s="122" t="s">
        <v>233</v>
      </c>
      <c r="I65" s="122" t="s">
        <v>233</v>
      </c>
      <c r="M65" s="122" t="s">
        <v>233</v>
      </c>
      <c r="U65" s="122" t="s">
        <v>233</v>
      </c>
      <c r="W65" s="122" t="s">
        <v>232</v>
      </c>
      <c r="X65" s="122" t="s">
        <v>233</v>
      </c>
      <c r="Y65" s="122" t="s">
        <v>233</v>
      </c>
      <c r="AA65" s="122" t="s">
        <v>233</v>
      </c>
      <c r="AB65" s="122" t="s">
        <v>232</v>
      </c>
      <c r="AC65" s="122" t="s">
        <v>233</v>
      </c>
      <c r="AD65" s="122" t="s">
        <v>232</v>
      </c>
      <c r="AF65" s="122" t="s">
        <v>233</v>
      </c>
      <c r="AG65" s="122" t="s">
        <v>233</v>
      </c>
      <c r="AH65" s="122" t="s">
        <v>233</v>
      </c>
      <c r="AI65" s="122" t="s">
        <v>233</v>
      </c>
      <c r="AJ65" s="122" t="s">
        <v>233</v>
      </c>
      <c r="AK65" s="122" t="s">
        <v>233</v>
      </c>
      <c r="AL65" s="122" t="s">
        <v>233</v>
      </c>
      <c r="AM65" s="122" t="s">
        <v>233</v>
      </c>
      <c r="AX65" s="122" t="s">
        <v>232</v>
      </c>
      <c r="AY65" s="122" t="s">
        <v>232</v>
      </c>
      <c r="BB65" s="122" t="s">
        <v>232</v>
      </c>
      <c r="BC65" s="122" t="s">
        <v>233</v>
      </c>
      <c r="BD65" s="122" t="s">
        <v>232</v>
      </c>
      <c r="BE65" s="122" t="s">
        <v>233</v>
      </c>
      <c r="BG65" s="122" t="s">
        <v>232</v>
      </c>
      <c r="BO65" s="122" t="s">
        <v>232</v>
      </c>
    </row>
    <row r="66">
      <c r="A66" s="127">
        <v>46007.0</v>
      </c>
      <c r="H66" s="122" t="s">
        <v>234</v>
      </c>
      <c r="I66" s="122" t="s">
        <v>234</v>
      </c>
      <c r="M66" s="122" t="s">
        <v>234</v>
      </c>
      <c r="U66" s="122" t="s">
        <v>234</v>
      </c>
      <c r="W66" s="122" t="s">
        <v>232</v>
      </c>
      <c r="X66" s="122" t="s">
        <v>234</v>
      </c>
      <c r="Y66" s="122" t="s">
        <v>234</v>
      </c>
      <c r="AA66" s="122" t="s">
        <v>234</v>
      </c>
      <c r="AB66" s="122" t="s">
        <v>232</v>
      </c>
      <c r="AC66" s="122" t="s">
        <v>234</v>
      </c>
      <c r="AD66" s="122" t="s">
        <v>234</v>
      </c>
      <c r="AI66" s="122" t="s">
        <v>234</v>
      </c>
      <c r="AJ66" s="122" t="s">
        <v>234</v>
      </c>
      <c r="AK66" s="122" t="s">
        <v>234</v>
      </c>
      <c r="AL66" s="122" t="s">
        <v>234</v>
      </c>
      <c r="AM66" s="122" t="s">
        <v>234</v>
      </c>
      <c r="AX66" s="122" t="s">
        <v>232</v>
      </c>
      <c r="BB66" s="122" t="s">
        <v>234</v>
      </c>
      <c r="BC66" s="122" t="s">
        <v>234</v>
      </c>
      <c r="BD66" s="122" t="s">
        <v>234</v>
      </c>
      <c r="BE66" s="122" t="s">
        <v>234</v>
      </c>
      <c r="BO66" s="122" t="s">
        <v>232</v>
      </c>
    </row>
    <row r="67">
      <c r="A67" s="127">
        <v>46008.0</v>
      </c>
      <c r="G67" s="122" t="s">
        <v>232</v>
      </c>
      <c r="H67" s="122" t="s">
        <v>233</v>
      </c>
      <c r="I67" s="122" t="s">
        <v>232</v>
      </c>
      <c r="M67" s="122" t="s">
        <v>233</v>
      </c>
      <c r="U67" s="122" t="s">
        <v>233</v>
      </c>
      <c r="W67" s="122" t="s">
        <v>232</v>
      </c>
      <c r="X67" s="122" t="s">
        <v>233</v>
      </c>
      <c r="Y67" s="122" t="s">
        <v>233</v>
      </c>
      <c r="AA67" s="122" t="s">
        <v>233</v>
      </c>
      <c r="AB67" s="122" t="s">
        <v>232</v>
      </c>
      <c r="AC67" s="122" t="s">
        <v>233</v>
      </c>
      <c r="AD67" s="122" t="s">
        <v>233</v>
      </c>
      <c r="AI67" s="122" t="s">
        <v>233</v>
      </c>
      <c r="AJ67" s="122" t="s">
        <v>233</v>
      </c>
      <c r="AK67" s="122" t="s">
        <v>233</v>
      </c>
      <c r="AL67" s="122" t="s">
        <v>233</v>
      </c>
      <c r="AM67" s="122" t="s">
        <v>233</v>
      </c>
      <c r="AX67" s="122" t="s">
        <v>232</v>
      </c>
      <c r="BB67" s="122" t="s">
        <v>233</v>
      </c>
      <c r="BC67" s="122" t="s">
        <v>233</v>
      </c>
      <c r="BD67" s="122" t="s">
        <v>233</v>
      </c>
      <c r="BE67" s="122" t="s">
        <v>233</v>
      </c>
      <c r="BO67" s="122" t="s">
        <v>232</v>
      </c>
    </row>
    <row r="68">
      <c r="A68" s="127">
        <v>46009.0</v>
      </c>
      <c r="B68" s="122" t="s">
        <v>235</v>
      </c>
      <c r="H68" s="122" t="s">
        <v>233</v>
      </c>
      <c r="I68" s="122" t="s">
        <v>233</v>
      </c>
      <c r="M68" s="122" t="s">
        <v>233</v>
      </c>
      <c r="U68" s="122" t="s">
        <v>233</v>
      </c>
      <c r="X68" s="122" t="s">
        <v>233</v>
      </c>
      <c r="Y68" s="122" t="s">
        <v>233</v>
      </c>
      <c r="AA68" s="122" t="s">
        <v>233</v>
      </c>
      <c r="AC68" s="122" t="s">
        <v>233</v>
      </c>
      <c r="AD68" s="122" t="s">
        <v>233</v>
      </c>
      <c r="AI68" s="122" t="s">
        <v>233</v>
      </c>
      <c r="AJ68" s="122" t="s">
        <v>233</v>
      </c>
      <c r="AK68" s="122" t="s">
        <v>233</v>
      </c>
      <c r="AL68" s="122" t="s">
        <v>233</v>
      </c>
      <c r="AM68" s="122" t="s">
        <v>233</v>
      </c>
      <c r="BB68" s="122" t="s">
        <v>233</v>
      </c>
      <c r="BC68" s="122" t="s">
        <v>233</v>
      </c>
      <c r="BD68" s="122" t="s">
        <v>233</v>
      </c>
      <c r="BE68" s="122" t="s">
        <v>233</v>
      </c>
    </row>
    <row r="69">
      <c r="A69" s="127">
        <v>46010.0</v>
      </c>
      <c r="B69" s="122" t="s">
        <v>235</v>
      </c>
      <c r="AI69" s="122" t="s">
        <v>234</v>
      </c>
      <c r="AJ69" s="122" t="s">
        <v>234</v>
      </c>
      <c r="AK69" s="122" t="s">
        <v>234</v>
      </c>
      <c r="AL69" s="122" t="s">
        <v>234</v>
      </c>
    </row>
    <row r="70">
      <c r="A70" s="127">
        <v>46011.0</v>
      </c>
      <c r="B70" s="122" t="s">
        <v>235</v>
      </c>
      <c r="AI70" s="122" t="s">
        <v>233</v>
      </c>
      <c r="AJ70" s="122" t="s">
        <v>233</v>
      </c>
      <c r="AK70" s="122" t="s">
        <v>233</v>
      </c>
      <c r="AL70" s="122" t="s">
        <v>233</v>
      </c>
    </row>
    <row r="71">
      <c r="A71" s="127">
        <v>46012.0</v>
      </c>
      <c r="B71" s="122" t="s">
        <v>235</v>
      </c>
      <c r="AI71" s="122" t="s">
        <v>233</v>
      </c>
      <c r="AJ71" s="122" t="s">
        <v>233</v>
      </c>
      <c r="AK71" s="122" t="s">
        <v>233</v>
      </c>
      <c r="AL71" s="122" t="s">
        <v>233</v>
      </c>
    </row>
    <row r="72">
      <c r="A72" s="127">
        <v>46013.0</v>
      </c>
      <c r="B72" s="122" t="s">
        <v>235</v>
      </c>
    </row>
    <row r="73">
      <c r="A73" s="127">
        <v>46014.0</v>
      </c>
      <c r="B73" s="122" t="s">
        <v>235</v>
      </c>
    </row>
    <row r="74">
      <c r="A74" s="127">
        <v>46015.0</v>
      </c>
      <c r="B74" s="122" t="s">
        <v>235</v>
      </c>
    </row>
    <row r="75">
      <c r="A75" s="127">
        <v>46016.0</v>
      </c>
      <c r="B75" s="122" t="s">
        <v>235</v>
      </c>
    </row>
    <row r="76">
      <c r="A76" s="127">
        <v>46017.0</v>
      </c>
      <c r="B76" s="122" t="s">
        <v>235</v>
      </c>
    </row>
    <row r="77">
      <c r="A77" s="127">
        <v>46018.0</v>
      </c>
      <c r="B77" s="122" t="s">
        <v>235</v>
      </c>
    </row>
    <row r="78">
      <c r="A78" s="127">
        <v>46019.0</v>
      </c>
      <c r="B78" s="122" t="s">
        <v>235</v>
      </c>
    </row>
    <row r="79">
      <c r="A79" s="127">
        <v>46020.0</v>
      </c>
      <c r="B79" s="122" t="s">
        <v>235</v>
      </c>
    </row>
    <row r="80">
      <c r="A80" s="127">
        <v>46021.0</v>
      </c>
      <c r="B80" s="122" t="s">
        <v>235</v>
      </c>
    </row>
    <row r="81">
      <c r="A81" s="127">
        <v>46022.0</v>
      </c>
      <c r="B81" s="122" t="s">
        <v>235</v>
      </c>
    </row>
    <row r="82">
      <c r="A82" s="127">
        <v>46023.0</v>
      </c>
      <c r="B82" s="122" t="s">
        <v>235</v>
      </c>
    </row>
    <row r="83">
      <c r="A83" s="127">
        <v>46024.0</v>
      </c>
      <c r="B83" s="122" t="s">
        <v>235</v>
      </c>
    </row>
    <row r="84">
      <c r="A84" s="127">
        <v>46025.0</v>
      </c>
      <c r="B84" s="122" t="s">
        <v>235</v>
      </c>
      <c r="BF84" s="122" t="s">
        <v>233</v>
      </c>
      <c r="BG84" s="122" t="s">
        <v>233</v>
      </c>
      <c r="BH84" s="122" t="s">
        <v>233</v>
      </c>
      <c r="BI84" s="122" t="s">
        <v>233</v>
      </c>
    </row>
    <row r="85">
      <c r="A85" s="127">
        <v>46026.0</v>
      </c>
      <c r="B85" s="122" t="s">
        <v>235</v>
      </c>
      <c r="BF85" s="122" t="s">
        <v>233</v>
      </c>
      <c r="BG85" s="122" t="s">
        <v>233</v>
      </c>
      <c r="BH85" s="122" t="s">
        <v>233</v>
      </c>
      <c r="BI85" s="122" t="s">
        <v>233</v>
      </c>
    </row>
    <row r="86">
      <c r="A86" s="127">
        <v>46027.0</v>
      </c>
      <c r="AA86" s="122" t="s">
        <v>233</v>
      </c>
      <c r="AB86" s="122" t="s">
        <v>232</v>
      </c>
      <c r="AC86" s="122" t="s">
        <v>233</v>
      </c>
      <c r="AD86" s="122" t="s">
        <v>232</v>
      </c>
      <c r="AJ86" s="122" t="s">
        <v>233</v>
      </c>
      <c r="AM86" s="122" t="s">
        <v>232</v>
      </c>
      <c r="AR86" s="122" t="s">
        <v>232</v>
      </c>
      <c r="AV86" s="122" t="s">
        <v>233</v>
      </c>
      <c r="AY86" s="122" t="s">
        <v>232</v>
      </c>
      <c r="BF86" s="122" t="s">
        <v>234</v>
      </c>
      <c r="BG86" s="122" t="s">
        <v>234</v>
      </c>
      <c r="BH86" s="122" t="s">
        <v>234</v>
      </c>
      <c r="BI86" s="122" t="s">
        <v>234</v>
      </c>
    </row>
    <row r="87">
      <c r="A87" s="127">
        <v>46028.0</v>
      </c>
      <c r="AA87" s="122" t="s">
        <v>233</v>
      </c>
      <c r="AB87" s="122" t="s">
        <v>232</v>
      </c>
      <c r="AC87" s="122" t="s">
        <v>233</v>
      </c>
      <c r="AD87" s="122" t="s">
        <v>232</v>
      </c>
      <c r="AJ87" s="122" t="s">
        <v>233</v>
      </c>
      <c r="AM87" s="122" t="s">
        <v>232</v>
      </c>
      <c r="AR87" s="122" t="s">
        <v>232</v>
      </c>
      <c r="AV87" s="122" t="s">
        <v>233</v>
      </c>
      <c r="BF87" s="122" t="s">
        <v>233</v>
      </c>
      <c r="BG87" s="122" t="s">
        <v>233</v>
      </c>
      <c r="BH87" s="122" t="s">
        <v>233</v>
      </c>
      <c r="BI87" s="122" t="s">
        <v>233</v>
      </c>
    </row>
    <row r="88">
      <c r="A88" s="127">
        <v>46029.0</v>
      </c>
      <c r="AA88" s="122" t="s">
        <v>234</v>
      </c>
      <c r="AB88" s="122" t="s">
        <v>232</v>
      </c>
      <c r="AC88" s="122" t="s">
        <v>234</v>
      </c>
      <c r="AD88" s="122" t="s">
        <v>232</v>
      </c>
      <c r="AJ88" s="122" t="s">
        <v>234</v>
      </c>
      <c r="AM88" s="122" t="s">
        <v>232</v>
      </c>
      <c r="AR88" s="122" t="s">
        <v>232</v>
      </c>
      <c r="AV88" s="122" t="s">
        <v>234</v>
      </c>
      <c r="BF88" s="122" t="s">
        <v>234</v>
      </c>
      <c r="BG88" s="122" t="s">
        <v>233</v>
      </c>
      <c r="BH88" s="122" t="s">
        <v>233</v>
      </c>
      <c r="BI88" s="122" t="s">
        <v>233</v>
      </c>
    </row>
    <row r="89">
      <c r="A89" s="127">
        <v>46030.0</v>
      </c>
      <c r="B89" s="122" t="s">
        <v>235</v>
      </c>
      <c r="AA89" s="122" t="s">
        <v>233</v>
      </c>
      <c r="AC89" s="122" t="s">
        <v>233</v>
      </c>
      <c r="AJ89" s="122" t="s">
        <v>233</v>
      </c>
      <c r="AV89" s="122" t="s">
        <v>233</v>
      </c>
      <c r="BF89" s="122" t="s">
        <v>233</v>
      </c>
    </row>
    <row r="90">
      <c r="A90" s="127">
        <v>46031.0</v>
      </c>
      <c r="B90" s="122" t="s">
        <v>235</v>
      </c>
      <c r="AA90" s="122" t="s">
        <v>233</v>
      </c>
      <c r="AC90" s="122" t="s">
        <v>233</v>
      </c>
      <c r="AJ90" s="122" t="s">
        <v>233</v>
      </c>
      <c r="AV90" s="122" t="s">
        <v>233</v>
      </c>
      <c r="BF90" s="122" t="s">
        <v>233</v>
      </c>
    </row>
    <row r="91">
      <c r="A91" s="127">
        <v>46032.0</v>
      </c>
      <c r="B91" s="122" t="s">
        <v>235</v>
      </c>
      <c r="AT91" s="122" t="s">
        <v>233</v>
      </c>
      <c r="AU91" s="122" t="s">
        <v>233</v>
      </c>
      <c r="AV91" s="122" t="s">
        <v>233</v>
      </c>
      <c r="AW91" s="122" t="s">
        <v>233</v>
      </c>
      <c r="BF91" s="122" t="s">
        <v>233</v>
      </c>
      <c r="BG91" s="122" t="s">
        <v>233</v>
      </c>
      <c r="BH91" s="122" t="s">
        <v>233</v>
      </c>
      <c r="BI91" s="122" t="s">
        <v>233</v>
      </c>
    </row>
    <row r="92">
      <c r="A92" s="127">
        <v>46033.0</v>
      </c>
      <c r="C92" s="122" t="s">
        <v>232</v>
      </c>
      <c r="D92" s="122" t="s">
        <v>232</v>
      </c>
      <c r="E92" s="122" t="s">
        <v>232</v>
      </c>
      <c r="F92" s="122" t="s">
        <v>232</v>
      </c>
      <c r="K92" s="122" t="s">
        <v>232</v>
      </c>
      <c r="X92" s="122" t="s">
        <v>233</v>
      </c>
      <c r="Y92" s="122" t="s">
        <v>233</v>
      </c>
      <c r="Z92" s="122" t="s">
        <v>233</v>
      </c>
      <c r="AB92" s="122" t="s">
        <v>232</v>
      </c>
      <c r="AC92" s="122" t="s">
        <v>233</v>
      </c>
      <c r="AD92" s="122" t="s">
        <v>233</v>
      </c>
      <c r="AE92" s="122" t="s">
        <v>232</v>
      </c>
      <c r="AM92" s="122" t="s">
        <v>233</v>
      </c>
      <c r="AO92" s="122" t="s">
        <v>232</v>
      </c>
      <c r="AP92" s="122" t="s">
        <v>233</v>
      </c>
      <c r="AQ92" s="122" t="s">
        <v>233</v>
      </c>
      <c r="AR92" s="122" t="s">
        <v>232</v>
      </c>
      <c r="AT92" s="122" t="s">
        <v>233</v>
      </c>
      <c r="AU92" s="122" t="s">
        <v>233</v>
      </c>
      <c r="AV92" s="122" t="s">
        <v>233</v>
      </c>
      <c r="AW92" s="122" t="s">
        <v>233</v>
      </c>
      <c r="BB92" s="122" t="s">
        <v>232</v>
      </c>
      <c r="BF92" s="122" t="s">
        <v>233</v>
      </c>
      <c r="BG92" s="122" t="s">
        <v>232</v>
      </c>
      <c r="BH92" s="122" t="s">
        <v>233</v>
      </c>
      <c r="BI92" s="122" t="s">
        <v>233</v>
      </c>
    </row>
    <row r="93">
      <c r="A93" s="127">
        <v>46034.0</v>
      </c>
      <c r="H93" s="122" t="s">
        <v>233</v>
      </c>
      <c r="I93" s="122" t="s">
        <v>233</v>
      </c>
      <c r="M93" s="122" t="s">
        <v>233</v>
      </c>
      <c r="U93" s="122" t="s">
        <v>233</v>
      </c>
      <c r="W93" s="122" t="s">
        <v>233</v>
      </c>
      <c r="X93" s="122" t="s">
        <v>233</v>
      </c>
      <c r="Y93" s="122" t="s">
        <v>233</v>
      </c>
      <c r="Z93" s="122" t="s">
        <v>233</v>
      </c>
      <c r="AB93" s="122" t="s">
        <v>232</v>
      </c>
      <c r="AC93" s="122" t="s">
        <v>232</v>
      </c>
      <c r="AD93" s="122" t="s">
        <v>232</v>
      </c>
      <c r="AG93" s="122" t="s">
        <v>233</v>
      </c>
      <c r="AM93" s="122" t="s">
        <v>233</v>
      </c>
      <c r="AN93" s="122" t="s">
        <v>233</v>
      </c>
      <c r="AO93" s="122" t="s">
        <v>233</v>
      </c>
      <c r="AP93" s="122" t="s">
        <v>233</v>
      </c>
      <c r="AQ93" s="122" t="s">
        <v>233</v>
      </c>
      <c r="AR93" s="122" t="s">
        <v>232</v>
      </c>
      <c r="AT93" s="122" t="s">
        <v>234</v>
      </c>
      <c r="AU93" s="122" t="s">
        <v>234</v>
      </c>
      <c r="AV93" s="122" t="s">
        <v>234</v>
      </c>
      <c r="AW93" s="122" t="s">
        <v>234</v>
      </c>
      <c r="AY93" s="122" t="s">
        <v>232</v>
      </c>
      <c r="BB93" s="122" t="s">
        <v>232</v>
      </c>
      <c r="BC93" s="122" t="s">
        <v>232</v>
      </c>
      <c r="BE93" s="122" t="s">
        <v>232</v>
      </c>
      <c r="BF93" s="122" t="s">
        <v>234</v>
      </c>
      <c r="BG93" s="122" t="s">
        <v>234</v>
      </c>
      <c r="BH93" s="122" t="s">
        <v>234</v>
      </c>
      <c r="BI93" s="122" t="s">
        <v>234</v>
      </c>
    </row>
    <row r="94">
      <c r="A94" s="127">
        <v>46035.0</v>
      </c>
      <c r="H94" s="122" t="s">
        <v>233</v>
      </c>
      <c r="I94" s="122" t="s">
        <v>233</v>
      </c>
      <c r="M94" s="122" t="s">
        <v>233</v>
      </c>
      <c r="U94" s="122" t="s">
        <v>233</v>
      </c>
      <c r="V94" s="122" t="s">
        <v>232</v>
      </c>
      <c r="W94" s="122" t="s">
        <v>233</v>
      </c>
      <c r="X94" s="122" t="s">
        <v>234</v>
      </c>
      <c r="Y94" s="122" t="s">
        <v>234</v>
      </c>
      <c r="Z94" s="122" t="s">
        <v>234</v>
      </c>
      <c r="AB94" s="122" t="s">
        <v>232</v>
      </c>
      <c r="AC94" s="122" t="s">
        <v>234</v>
      </c>
      <c r="AD94" s="122" t="s">
        <v>234</v>
      </c>
      <c r="AG94" s="122" t="s">
        <v>233</v>
      </c>
      <c r="AM94" s="122" t="s">
        <v>234</v>
      </c>
      <c r="AN94" s="122" t="s">
        <v>233</v>
      </c>
      <c r="AO94" s="122" t="s">
        <v>233</v>
      </c>
      <c r="AP94" s="122" t="s">
        <v>234</v>
      </c>
      <c r="AQ94" s="122" t="s">
        <v>234</v>
      </c>
      <c r="AR94" s="122" t="s">
        <v>232</v>
      </c>
      <c r="AT94" s="122" t="s">
        <v>233</v>
      </c>
      <c r="AU94" s="122" t="s">
        <v>233</v>
      </c>
      <c r="AV94" s="122" t="s">
        <v>233</v>
      </c>
      <c r="AW94" s="122" t="s">
        <v>233</v>
      </c>
      <c r="BB94" s="122" t="s">
        <v>232</v>
      </c>
      <c r="BE94" s="122" t="s">
        <v>232</v>
      </c>
      <c r="BF94" s="122" t="s">
        <v>232</v>
      </c>
      <c r="BG94" s="122" t="s">
        <v>233</v>
      </c>
      <c r="BH94" s="122" t="s">
        <v>233</v>
      </c>
      <c r="BI94" s="122" t="s">
        <v>233</v>
      </c>
      <c r="BL94" s="122" t="s">
        <v>233</v>
      </c>
      <c r="BM94" s="122" t="s">
        <v>233</v>
      </c>
      <c r="BN94" s="122" t="s">
        <v>233</v>
      </c>
      <c r="BO94" s="122" t="s">
        <v>233</v>
      </c>
    </row>
    <row r="95">
      <c r="A95" s="127">
        <v>46036.0</v>
      </c>
      <c r="H95" s="122" t="s">
        <v>234</v>
      </c>
      <c r="I95" s="122" t="s">
        <v>234</v>
      </c>
      <c r="M95" s="122" t="s">
        <v>234</v>
      </c>
      <c r="U95" s="122" t="s">
        <v>234</v>
      </c>
      <c r="V95" s="122" t="s">
        <v>232</v>
      </c>
      <c r="W95" s="122" t="s">
        <v>234</v>
      </c>
      <c r="X95" s="122" t="s">
        <v>233</v>
      </c>
      <c r="Y95" s="122" t="s">
        <v>233</v>
      </c>
      <c r="Z95" s="122" t="s">
        <v>233</v>
      </c>
      <c r="AB95" s="122" t="s">
        <v>232</v>
      </c>
      <c r="AC95" s="122" t="s">
        <v>233</v>
      </c>
      <c r="AD95" s="122" t="s">
        <v>233</v>
      </c>
      <c r="AG95" s="122" t="s">
        <v>234</v>
      </c>
      <c r="AM95" s="122" t="s">
        <v>233</v>
      </c>
      <c r="AN95" s="122" t="s">
        <v>234</v>
      </c>
      <c r="AO95" s="122" t="s">
        <v>234</v>
      </c>
      <c r="AP95" s="122" t="s">
        <v>233</v>
      </c>
      <c r="AQ95" s="122" t="s">
        <v>233</v>
      </c>
      <c r="AR95" s="122" t="s">
        <v>232</v>
      </c>
      <c r="AT95" s="122" t="s">
        <v>233</v>
      </c>
      <c r="AU95" s="122" t="s">
        <v>233</v>
      </c>
      <c r="AV95" s="122" t="s">
        <v>233</v>
      </c>
      <c r="AW95" s="122" t="s">
        <v>233</v>
      </c>
      <c r="BF95" s="122" t="s">
        <v>233</v>
      </c>
      <c r="BG95" s="122" t="s">
        <v>233</v>
      </c>
      <c r="BH95" s="122" t="s">
        <v>233</v>
      </c>
      <c r="BI95" s="122" t="s">
        <v>233</v>
      </c>
      <c r="BL95" s="122" t="s">
        <v>233</v>
      </c>
      <c r="BM95" s="122" t="s">
        <v>233</v>
      </c>
      <c r="BN95" s="122" t="s">
        <v>233</v>
      </c>
      <c r="BO95" s="122" t="s">
        <v>233</v>
      </c>
    </row>
    <row r="96">
      <c r="A96" s="127">
        <v>46037.0</v>
      </c>
      <c r="H96" s="122" t="s">
        <v>233</v>
      </c>
      <c r="I96" s="122" t="s">
        <v>233</v>
      </c>
      <c r="M96" s="122" t="s">
        <v>233</v>
      </c>
      <c r="U96" s="122" t="s">
        <v>233</v>
      </c>
      <c r="V96" s="122" t="s">
        <v>232</v>
      </c>
      <c r="W96" s="122" t="s">
        <v>233</v>
      </c>
      <c r="X96" s="122" t="s">
        <v>233</v>
      </c>
      <c r="Y96" s="122" t="s">
        <v>233</v>
      </c>
      <c r="Z96" s="122" t="s">
        <v>233</v>
      </c>
      <c r="AB96" s="122" t="s">
        <v>232</v>
      </c>
      <c r="AC96" s="122" t="s">
        <v>233</v>
      </c>
      <c r="AD96" s="122" t="s">
        <v>233</v>
      </c>
      <c r="AG96" s="122" t="s">
        <v>233</v>
      </c>
      <c r="AM96" s="122" t="s">
        <v>233</v>
      </c>
      <c r="AN96" s="122" t="s">
        <v>233</v>
      </c>
      <c r="AO96" s="122" t="s">
        <v>233</v>
      </c>
      <c r="AP96" s="122" t="s">
        <v>233</v>
      </c>
      <c r="AQ96" s="122" t="s">
        <v>233</v>
      </c>
      <c r="AR96" s="122" t="s">
        <v>232</v>
      </c>
      <c r="BL96" s="122" t="s">
        <v>234</v>
      </c>
      <c r="BM96" s="122" t="s">
        <v>234</v>
      </c>
      <c r="BN96" s="122" t="s">
        <v>234</v>
      </c>
      <c r="BO96" s="122" t="s">
        <v>234</v>
      </c>
    </row>
    <row r="97">
      <c r="A97" s="127">
        <v>46038.0</v>
      </c>
      <c r="B97" s="122" t="s">
        <v>235</v>
      </c>
      <c r="H97" s="122" t="s">
        <v>233</v>
      </c>
      <c r="I97" s="122" t="s">
        <v>233</v>
      </c>
      <c r="M97" s="122" t="s">
        <v>233</v>
      </c>
      <c r="U97" s="122" t="s">
        <v>233</v>
      </c>
      <c r="W97" s="122" t="s">
        <v>233</v>
      </c>
      <c r="AG97" s="122" t="s">
        <v>233</v>
      </c>
      <c r="AN97" s="122" t="s">
        <v>233</v>
      </c>
      <c r="AO97" s="122" t="s">
        <v>233</v>
      </c>
      <c r="BL97" s="122" t="s">
        <v>233</v>
      </c>
      <c r="BM97" s="122" t="s">
        <v>233</v>
      </c>
      <c r="BN97" s="122" t="s">
        <v>233</v>
      </c>
      <c r="BO97" s="122" t="s">
        <v>233</v>
      </c>
    </row>
    <row r="98">
      <c r="A98" s="127">
        <v>46039.0</v>
      </c>
      <c r="B98" s="122" t="s">
        <v>235</v>
      </c>
      <c r="G98" s="122" t="s">
        <v>233</v>
      </c>
      <c r="H98" s="122" t="s">
        <v>233</v>
      </c>
      <c r="I98" s="122" t="s">
        <v>233</v>
      </c>
      <c r="J98" s="122" t="s">
        <v>233</v>
      </c>
      <c r="AT98" s="122" t="s">
        <v>233</v>
      </c>
      <c r="AU98" s="122" t="s">
        <v>233</v>
      </c>
      <c r="AV98" s="122" t="s">
        <v>233</v>
      </c>
      <c r="AW98" s="122" t="s">
        <v>233</v>
      </c>
      <c r="BL98" s="122" t="s">
        <v>233</v>
      </c>
      <c r="BM98" s="122" t="s">
        <v>233</v>
      </c>
      <c r="BN98" s="122" t="s">
        <v>233</v>
      </c>
      <c r="BO98" s="122" t="s">
        <v>233</v>
      </c>
    </row>
    <row r="99">
      <c r="A99" s="127">
        <v>46040.0</v>
      </c>
      <c r="B99" s="122" t="s">
        <v>235</v>
      </c>
      <c r="G99" s="122" t="s">
        <v>233</v>
      </c>
      <c r="H99" s="122" t="s">
        <v>233</v>
      </c>
      <c r="I99" s="122" t="s">
        <v>233</v>
      </c>
      <c r="J99" s="122" t="s">
        <v>233</v>
      </c>
      <c r="X99" s="122" t="s">
        <v>233</v>
      </c>
      <c r="Y99" s="122" t="s">
        <v>233</v>
      </c>
      <c r="AC99" s="122" t="s">
        <v>233</v>
      </c>
      <c r="AM99" s="122" t="s">
        <v>233</v>
      </c>
      <c r="AN99" s="122" t="s">
        <v>233</v>
      </c>
      <c r="AQ99" s="122" t="s">
        <v>233</v>
      </c>
      <c r="AR99" s="122" t="s">
        <v>233</v>
      </c>
      <c r="AS99" s="122" t="s">
        <v>233</v>
      </c>
      <c r="AT99" s="122" t="s">
        <v>233</v>
      </c>
      <c r="AU99" s="122" t="s">
        <v>233</v>
      </c>
      <c r="AV99" s="122" t="s">
        <v>233</v>
      </c>
      <c r="AW99" s="122" t="s">
        <v>233</v>
      </c>
    </row>
    <row r="100">
      <c r="A100" s="127">
        <v>46041.0</v>
      </c>
      <c r="G100" s="122" t="s">
        <v>234</v>
      </c>
      <c r="H100" s="122" t="s">
        <v>234</v>
      </c>
      <c r="I100" s="122" t="s">
        <v>234</v>
      </c>
      <c r="J100" s="122" t="s">
        <v>234</v>
      </c>
      <c r="X100" s="122" t="s">
        <v>233</v>
      </c>
      <c r="Y100" s="122" t="s">
        <v>233</v>
      </c>
      <c r="AB100" s="122" t="s">
        <v>232</v>
      </c>
      <c r="AC100" s="122" t="s">
        <v>233</v>
      </c>
      <c r="AD100" s="122" t="s">
        <v>232</v>
      </c>
      <c r="AM100" s="122" t="s">
        <v>233</v>
      </c>
      <c r="AN100" s="122" t="s">
        <v>233</v>
      </c>
      <c r="AQ100" s="122" t="s">
        <v>233</v>
      </c>
      <c r="AR100" s="122" t="s">
        <v>233</v>
      </c>
      <c r="AS100" s="122" t="s">
        <v>233</v>
      </c>
      <c r="AT100" s="122" t="s">
        <v>234</v>
      </c>
      <c r="AU100" s="122" t="s">
        <v>234</v>
      </c>
      <c r="AV100" s="122" t="s">
        <v>234</v>
      </c>
      <c r="AW100" s="122" t="s">
        <v>234</v>
      </c>
      <c r="AY100" s="122" t="s">
        <v>232</v>
      </c>
    </row>
    <row r="101">
      <c r="A101" s="127">
        <v>46042.0</v>
      </c>
      <c r="G101" s="122" t="s">
        <v>233</v>
      </c>
      <c r="H101" s="122" t="s">
        <v>233</v>
      </c>
      <c r="I101" s="122" t="s">
        <v>233</v>
      </c>
      <c r="J101" s="122" t="s">
        <v>233</v>
      </c>
      <c r="K101" s="122" t="s">
        <v>233</v>
      </c>
      <c r="L101" s="122" t="s">
        <v>233</v>
      </c>
      <c r="M101" s="122" t="s">
        <v>233</v>
      </c>
      <c r="N101" s="122" t="s">
        <v>233</v>
      </c>
      <c r="X101" s="122" t="s">
        <v>234</v>
      </c>
      <c r="Y101" s="122" t="s">
        <v>234</v>
      </c>
      <c r="AB101" s="122" t="s">
        <v>232</v>
      </c>
      <c r="AC101" s="122" t="s">
        <v>234</v>
      </c>
      <c r="AE101" s="122" t="s">
        <v>233</v>
      </c>
      <c r="AF101" s="122" t="s">
        <v>233</v>
      </c>
      <c r="AG101" s="122" t="s">
        <v>233</v>
      </c>
      <c r="AH101" s="122" t="s">
        <v>233</v>
      </c>
      <c r="AM101" s="122" t="s">
        <v>234</v>
      </c>
      <c r="AN101" s="122" t="s">
        <v>234</v>
      </c>
      <c r="AQ101" s="122" t="s">
        <v>234</v>
      </c>
      <c r="AR101" s="122" t="s">
        <v>234</v>
      </c>
      <c r="AS101" s="122" t="s">
        <v>234</v>
      </c>
      <c r="AT101" s="122" t="s">
        <v>233</v>
      </c>
      <c r="AU101" s="122" t="s">
        <v>233</v>
      </c>
      <c r="AV101" s="122" t="s">
        <v>233</v>
      </c>
      <c r="AW101" s="122" t="s">
        <v>233</v>
      </c>
    </row>
    <row r="102">
      <c r="A102" s="127">
        <v>46043.0</v>
      </c>
      <c r="G102" s="122" t="s">
        <v>233</v>
      </c>
      <c r="H102" s="122" t="s">
        <v>233</v>
      </c>
      <c r="I102" s="122" t="s">
        <v>233</v>
      </c>
      <c r="J102" s="122" t="s">
        <v>233</v>
      </c>
      <c r="K102" s="122" t="s">
        <v>233</v>
      </c>
      <c r="L102" s="122" t="s">
        <v>233</v>
      </c>
      <c r="M102" s="122" t="s">
        <v>233</v>
      </c>
      <c r="N102" s="122" t="s">
        <v>233</v>
      </c>
      <c r="X102" s="122" t="s">
        <v>233</v>
      </c>
      <c r="Y102" s="122" t="s">
        <v>233</v>
      </c>
      <c r="AB102" s="122" t="s">
        <v>232</v>
      </c>
      <c r="AC102" s="122" t="s">
        <v>233</v>
      </c>
      <c r="AE102" s="122" t="s">
        <v>233</v>
      </c>
      <c r="AF102" s="122" t="s">
        <v>233</v>
      </c>
      <c r="AG102" s="122" t="s">
        <v>233</v>
      </c>
      <c r="AH102" s="122" t="s">
        <v>233</v>
      </c>
      <c r="AM102" s="122" t="s">
        <v>233</v>
      </c>
      <c r="AN102" s="122" t="s">
        <v>233</v>
      </c>
      <c r="AQ102" s="122" t="s">
        <v>233</v>
      </c>
      <c r="AR102" s="122" t="s">
        <v>233</v>
      </c>
      <c r="AS102" s="122" t="s">
        <v>233</v>
      </c>
      <c r="AT102" s="122" t="s">
        <v>233</v>
      </c>
      <c r="AU102" s="122" t="s">
        <v>233</v>
      </c>
      <c r="AV102" s="122" t="s">
        <v>233</v>
      </c>
      <c r="AW102" s="122" t="s">
        <v>233</v>
      </c>
    </row>
    <row r="103">
      <c r="A103" s="127">
        <v>46044.0</v>
      </c>
      <c r="K103" s="122" t="s">
        <v>234</v>
      </c>
      <c r="L103" s="122" t="s">
        <v>234</v>
      </c>
      <c r="M103" s="122" t="s">
        <v>234</v>
      </c>
      <c r="N103" s="122" t="s">
        <v>234</v>
      </c>
      <c r="X103" s="122" t="s">
        <v>233</v>
      </c>
      <c r="Y103" s="122" t="s">
        <v>233</v>
      </c>
      <c r="AB103" s="122" t="s">
        <v>232</v>
      </c>
      <c r="AC103" s="122" t="s">
        <v>233</v>
      </c>
      <c r="AE103" s="122" t="s">
        <v>234</v>
      </c>
      <c r="AF103" s="122" t="s">
        <v>234</v>
      </c>
      <c r="AG103" s="122" t="s">
        <v>234</v>
      </c>
      <c r="AH103" s="122" t="s">
        <v>234</v>
      </c>
      <c r="AM103" s="122" t="s">
        <v>233</v>
      </c>
      <c r="AN103" s="122" t="s">
        <v>233</v>
      </c>
      <c r="AQ103" s="122" t="s">
        <v>233</v>
      </c>
      <c r="AR103" s="122" t="s">
        <v>233</v>
      </c>
      <c r="AS103" s="122" t="s">
        <v>233</v>
      </c>
      <c r="BF103" s="122" t="s">
        <v>233</v>
      </c>
      <c r="BG103" s="122" t="s">
        <v>233</v>
      </c>
      <c r="BH103" s="122" t="s">
        <v>233</v>
      </c>
      <c r="BI103" s="122" t="s">
        <v>233</v>
      </c>
      <c r="BJ103" s="122" t="s">
        <v>232</v>
      </c>
      <c r="BK103" s="122" t="s">
        <v>233</v>
      </c>
      <c r="BL103" s="122" t="s">
        <v>233</v>
      </c>
      <c r="BM103" s="122" t="s">
        <v>233</v>
      </c>
    </row>
    <row r="104">
      <c r="A104" s="127">
        <v>46045.0</v>
      </c>
      <c r="K104" s="122" t="s">
        <v>233</v>
      </c>
      <c r="L104" s="122" t="s">
        <v>233</v>
      </c>
      <c r="M104" s="122" t="s">
        <v>233</v>
      </c>
      <c r="N104" s="122" t="s">
        <v>233</v>
      </c>
      <c r="O104" s="122" t="s">
        <v>232</v>
      </c>
      <c r="U104" s="122" t="s">
        <v>232</v>
      </c>
      <c r="AB104" s="122" t="s">
        <v>232</v>
      </c>
      <c r="AE104" s="122" t="s">
        <v>233</v>
      </c>
      <c r="AF104" s="122" t="s">
        <v>233</v>
      </c>
      <c r="AG104" s="122" t="s">
        <v>233</v>
      </c>
      <c r="AH104" s="122" t="s">
        <v>233</v>
      </c>
      <c r="AN104" s="122" t="s">
        <v>234</v>
      </c>
      <c r="AQ104" s="122" t="s">
        <v>234</v>
      </c>
      <c r="AR104" s="122" t="s">
        <v>234</v>
      </c>
      <c r="AS104" s="122" t="s">
        <v>234</v>
      </c>
      <c r="AX104" s="122" t="s">
        <v>233</v>
      </c>
      <c r="AY104" s="122" t="s">
        <v>233</v>
      </c>
      <c r="AZ104" s="122" t="s">
        <v>233</v>
      </c>
      <c r="BA104" s="122" t="s">
        <v>233</v>
      </c>
      <c r="BF104" s="122" t="s">
        <v>233</v>
      </c>
      <c r="BG104" s="122" t="s">
        <v>233</v>
      </c>
      <c r="BH104" s="122" t="s">
        <v>233</v>
      </c>
      <c r="BI104" s="122" t="s">
        <v>233</v>
      </c>
      <c r="BJ104" s="122" t="s">
        <v>232</v>
      </c>
      <c r="BK104" s="122" t="s">
        <v>233</v>
      </c>
      <c r="BL104" s="122" t="s">
        <v>233</v>
      </c>
      <c r="BM104" s="122" t="s">
        <v>233</v>
      </c>
    </row>
    <row r="105">
      <c r="A105" s="127">
        <v>46046.0</v>
      </c>
      <c r="C105" s="122" t="s">
        <v>232</v>
      </c>
      <c r="D105" s="122" t="s">
        <v>232</v>
      </c>
      <c r="E105" s="122" t="s">
        <v>232</v>
      </c>
      <c r="F105" s="122" t="s">
        <v>232</v>
      </c>
      <c r="G105" s="122" t="s">
        <v>233</v>
      </c>
      <c r="H105" s="122" t="s">
        <v>233</v>
      </c>
      <c r="I105" s="122" t="s">
        <v>233</v>
      </c>
      <c r="J105" s="122" t="s">
        <v>233</v>
      </c>
      <c r="K105" s="122" t="s">
        <v>233</v>
      </c>
      <c r="L105" s="122" t="s">
        <v>233</v>
      </c>
      <c r="M105" s="122" t="s">
        <v>233</v>
      </c>
      <c r="N105" s="122" t="s">
        <v>233</v>
      </c>
      <c r="O105" s="122" t="s">
        <v>232</v>
      </c>
      <c r="W105" s="122" t="s">
        <v>233</v>
      </c>
      <c r="AB105" s="122" t="s">
        <v>232</v>
      </c>
      <c r="AC105" s="122" t="s">
        <v>232</v>
      </c>
      <c r="AE105" s="122" t="s">
        <v>232</v>
      </c>
      <c r="AF105" s="122" t="s">
        <v>233</v>
      </c>
      <c r="AG105" s="122" t="s">
        <v>233</v>
      </c>
      <c r="AH105" s="122" t="s">
        <v>233</v>
      </c>
      <c r="AN105" s="122" t="s">
        <v>233</v>
      </c>
      <c r="AO105" s="122" t="s">
        <v>232</v>
      </c>
      <c r="AQ105" s="122" t="s">
        <v>233</v>
      </c>
      <c r="AR105" s="122" t="s">
        <v>233</v>
      </c>
      <c r="AS105" s="122" t="s">
        <v>233</v>
      </c>
      <c r="AX105" s="122" t="s">
        <v>233</v>
      </c>
      <c r="AY105" s="122" t="s">
        <v>233</v>
      </c>
      <c r="AZ105" s="122" t="s">
        <v>233</v>
      </c>
      <c r="BA105" s="122" t="s">
        <v>233</v>
      </c>
      <c r="BB105" s="122" t="s">
        <v>233</v>
      </c>
      <c r="BC105" s="122" t="s">
        <v>233</v>
      </c>
      <c r="BD105" s="122" t="s">
        <v>233</v>
      </c>
      <c r="BE105" s="122" t="s">
        <v>233</v>
      </c>
      <c r="BF105" s="122" t="s">
        <v>234</v>
      </c>
      <c r="BG105" s="122" t="s">
        <v>234</v>
      </c>
      <c r="BH105" s="122" t="s">
        <v>234</v>
      </c>
      <c r="BI105" s="122" t="s">
        <v>234</v>
      </c>
      <c r="BJ105" s="122" t="s">
        <v>232</v>
      </c>
      <c r="BK105" s="122" t="s">
        <v>234</v>
      </c>
      <c r="BL105" s="122" t="s">
        <v>234</v>
      </c>
      <c r="BM105" s="122" t="s">
        <v>234</v>
      </c>
    </row>
    <row r="106">
      <c r="A106" s="127">
        <v>46047.0</v>
      </c>
      <c r="C106" s="122" t="s">
        <v>232</v>
      </c>
      <c r="D106" s="122" t="s">
        <v>232</v>
      </c>
      <c r="E106" s="122" t="s">
        <v>232</v>
      </c>
      <c r="F106" s="122" t="s">
        <v>232</v>
      </c>
      <c r="G106" s="122" t="s">
        <v>233</v>
      </c>
      <c r="H106" s="122" t="s">
        <v>233</v>
      </c>
      <c r="I106" s="122" t="s">
        <v>233</v>
      </c>
      <c r="J106" s="122" t="s">
        <v>233</v>
      </c>
      <c r="N106" s="122" t="s">
        <v>233</v>
      </c>
      <c r="V106" s="122" t="s">
        <v>233</v>
      </c>
      <c r="W106" s="122" t="s">
        <v>233</v>
      </c>
      <c r="AB106" s="122" t="s">
        <v>232</v>
      </c>
      <c r="AC106" s="122" t="s">
        <v>232</v>
      </c>
      <c r="AE106" s="122" t="s">
        <v>232</v>
      </c>
      <c r="AG106" s="122" t="s">
        <v>233</v>
      </c>
      <c r="AN106" s="122" t="s">
        <v>233</v>
      </c>
      <c r="AO106" s="122" t="s">
        <v>232</v>
      </c>
      <c r="AQ106" s="122" t="s">
        <v>233</v>
      </c>
      <c r="AR106" s="122" t="s">
        <v>233</v>
      </c>
      <c r="AS106" s="122" t="s">
        <v>233</v>
      </c>
      <c r="AT106" s="122" t="s">
        <v>233</v>
      </c>
      <c r="AU106" s="122" t="s">
        <v>233</v>
      </c>
      <c r="AV106" s="122" t="s">
        <v>233</v>
      </c>
      <c r="AW106" s="122" t="s">
        <v>233</v>
      </c>
      <c r="AX106" s="122" t="s">
        <v>234</v>
      </c>
      <c r="AY106" s="122" t="s">
        <v>234</v>
      </c>
      <c r="AZ106" s="122" t="s">
        <v>234</v>
      </c>
      <c r="BA106" s="122" t="s">
        <v>234</v>
      </c>
      <c r="BB106" s="122" t="s">
        <v>233</v>
      </c>
      <c r="BC106" s="122" t="s">
        <v>233</v>
      </c>
      <c r="BD106" s="122" t="s">
        <v>233</v>
      </c>
      <c r="BE106" s="122" t="s">
        <v>233</v>
      </c>
      <c r="BF106" s="122" t="s">
        <v>233</v>
      </c>
      <c r="BG106" s="122" t="s">
        <v>232</v>
      </c>
      <c r="BH106" s="122" t="s">
        <v>233</v>
      </c>
      <c r="BI106" s="122" t="s">
        <v>233</v>
      </c>
      <c r="BJ106" s="122" t="s">
        <v>232</v>
      </c>
      <c r="BK106" s="122" t="s">
        <v>233</v>
      </c>
      <c r="BL106" s="122" t="s">
        <v>233</v>
      </c>
      <c r="BM106" s="122" t="s">
        <v>233</v>
      </c>
    </row>
    <row r="107">
      <c r="A107" s="127">
        <v>46048.0</v>
      </c>
      <c r="D107" s="122" t="s">
        <v>233</v>
      </c>
      <c r="E107" s="122" t="s">
        <v>233</v>
      </c>
      <c r="G107" s="122" t="s">
        <v>234</v>
      </c>
      <c r="H107" s="122" t="s">
        <v>234</v>
      </c>
      <c r="I107" s="122" t="s">
        <v>234</v>
      </c>
      <c r="J107" s="122" t="s">
        <v>234</v>
      </c>
      <c r="M107" s="122" t="s">
        <v>233</v>
      </c>
      <c r="N107" s="122" t="s">
        <v>233</v>
      </c>
      <c r="U107" s="122" t="s">
        <v>233</v>
      </c>
      <c r="V107" s="122" t="s">
        <v>233</v>
      </c>
      <c r="W107" s="122" t="s">
        <v>234</v>
      </c>
      <c r="AB107" s="122" t="s">
        <v>232</v>
      </c>
      <c r="AD107" s="122" t="s">
        <v>232</v>
      </c>
      <c r="AG107" s="122" t="s">
        <v>234</v>
      </c>
      <c r="AN107" s="122" t="s">
        <v>234</v>
      </c>
      <c r="AO107" s="122" t="s">
        <v>234</v>
      </c>
      <c r="AT107" s="122" t="s">
        <v>233</v>
      </c>
      <c r="AU107" s="122" t="s">
        <v>233</v>
      </c>
      <c r="AV107" s="122" t="s">
        <v>233</v>
      </c>
      <c r="AW107" s="122" t="s">
        <v>233</v>
      </c>
      <c r="AX107" s="122" t="s">
        <v>233</v>
      </c>
      <c r="AY107" s="122" t="s">
        <v>232</v>
      </c>
      <c r="AZ107" s="122" t="s">
        <v>233</v>
      </c>
      <c r="BA107" s="122" t="s">
        <v>233</v>
      </c>
      <c r="BB107" s="122" t="s">
        <v>234</v>
      </c>
      <c r="BC107" s="122" t="s">
        <v>234</v>
      </c>
      <c r="BD107" s="122" t="s">
        <v>234</v>
      </c>
      <c r="BE107" s="122" t="s">
        <v>234</v>
      </c>
      <c r="BF107" s="122" t="s">
        <v>233</v>
      </c>
      <c r="BG107" s="122" t="s">
        <v>233</v>
      </c>
      <c r="BH107" s="122" t="s">
        <v>233</v>
      </c>
      <c r="BI107" s="122" t="s">
        <v>233</v>
      </c>
      <c r="BJ107" s="122" t="s">
        <v>232</v>
      </c>
      <c r="BK107" s="122" t="s">
        <v>233</v>
      </c>
      <c r="BL107" s="122" t="s">
        <v>233</v>
      </c>
      <c r="BM107" s="122" t="s">
        <v>233</v>
      </c>
    </row>
    <row r="108">
      <c r="A108" s="127">
        <v>46049.0</v>
      </c>
      <c r="D108" s="122" t="s">
        <v>234</v>
      </c>
      <c r="E108" s="122" t="s">
        <v>234</v>
      </c>
      <c r="G108" s="122" t="s">
        <v>233</v>
      </c>
      <c r="H108" s="122" t="s">
        <v>233</v>
      </c>
      <c r="I108" s="122" t="s">
        <v>233</v>
      </c>
      <c r="J108" s="122" t="s">
        <v>233</v>
      </c>
      <c r="K108" s="122" t="s">
        <v>233</v>
      </c>
      <c r="M108" s="122" t="s">
        <v>233</v>
      </c>
      <c r="N108" s="122" t="s">
        <v>234</v>
      </c>
      <c r="O108" s="122" t="s">
        <v>233</v>
      </c>
      <c r="P108" s="122" t="s">
        <v>233</v>
      </c>
      <c r="Q108" s="122" t="s">
        <v>233</v>
      </c>
      <c r="R108" s="122" t="s">
        <v>233</v>
      </c>
      <c r="S108" s="122" t="s">
        <v>233</v>
      </c>
      <c r="T108" s="122" t="s">
        <v>233</v>
      </c>
      <c r="U108" s="122" t="s">
        <v>233</v>
      </c>
      <c r="V108" s="122" t="s">
        <v>234</v>
      </c>
      <c r="W108" s="122" t="s">
        <v>233</v>
      </c>
      <c r="AB108" s="122" t="s">
        <v>232</v>
      </c>
      <c r="AG108" s="122" t="s">
        <v>233</v>
      </c>
      <c r="AN108" s="122" t="s">
        <v>233</v>
      </c>
      <c r="AO108" s="122" t="s">
        <v>233</v>
      </c>
      <c r="AT108" s="122" t="s">
        <v>234</v>
      </c>
      <c r="AU108" s="122" t="s">
        <v>234</v>
      </c>
      <c r="AV108" s="122" t="s">
        <v>234</v>
      </c>
      <c r="AW108" s="122" t="s">
        <v>234</v>
      </c>
      <c r="AX108" s="122" t="s">
        <v>233</v>
      </c>
      <c r="AY108" s="122" t="s">
        <v>233</v>
      </c>
      <c r="AZ108" s="122" t="s">
        <v>233</v>
      </c>
      <c r="BA108" s="122" t="s">
        <v>233</v>
      </c>
      <c r="BB108" s="122" t="s">
        <v>233</v>
      </c>
      <c r="BC108" s="122" t="s">
        <v>233</v>
      </c>
      <c r="BD108" s="122" t="s">
        <v>233</v>
      </c>
      <c r="BE108" s="122" t="s">
        <v>233</v>
      </c>
      <c r="BF108" s="122" t="s">
        <v>234</v>
      </c>
      <c r="BG108" s="122" t="s">
        <v>234</v>
      </c>
      <c r="BH108" s="122" t="s">
        <v>234</v>
      </c>
      <c r="BI108" s="122" t="s">
        <v>234</v>
      </c>
      <c r="BJ108" s="122" t="s">
        <v>232</v>
      </c>
    </row>
    <row r="109">
      <c r="A109" s="127">
        <v>46050.0</v>
      </c>
      <c r="D109" s="122" t="s">
        <v>233</v>
      </c>
      <c r="E109" s="122" t="s">
        <v>233</v>
      </c>
      <c r="G109" s="122" t="s">
        <v>233</v>
      </c>
      <c r="H109" s="122" t="s">
        <v>234</v>
      </c>
      <c r="I109" s="122" t="s">
        <v>234</v>
      </c>
      <c r="J109" s="122" t="s">
        <v>233</v>
      </c>
      <c r="K109" s="122" t="s">
        <v>233</v>
      </c>
      <c r="M109" s="122" t="s">
        <v>234</v>
      </c>
      <c r="N109" s="122" t="s">
        <v>233</v>
      </c>
      <c r="O109" s="122" t="s">
        <v>233</v>
      </c>
      <c r="P109" s="122" t="s">
        <v>233</v>
      </c>
      <c r="Q109" s="122" t="s">
        <v>233</v>
      </c>
      <c r="R109" s="122" t="s">
        <v>233</v>
      </c>
      <c r="S109" s="122" t="s">
        <v>233</v>
      </c>
      <c r="T109" s="122" t="s">
        <v>233</v>
      </c>
      <c r="U109" s="122" t="s">
        <v>234</v>
      </c>
      <c r="V109" s="122" t="s">
        <v>233</v>
      </c>
      <c r="W109" s="122" t="s">
        <v>234</v>
      </c>
      <c r="AB109" s="122" t="s">
        <v>232</v>
      </c>
      <c r="AG109" s="122" t="s">
        <v>234</v>
      </c>
      <c r="AJ109" s="122" t="s">
        <v>233</v>
      </c>
      <c r="AN109" s="122" t="s">
        <v>234</v>
      </c>
      <c r="AO109" s="122" t="s">
        <v>234</v>
      </c>
      <c r="AR109" s="122" t="s">
        <v>233</v>
      </c>
      <c r="AT109" s="122" t="s">
        <v>233</v>
      </c>
      <c r="AU109" s="122" t="s">
        <v>233</v>
      </c>
      <c r="AV109" s="122" t="s">
        <v>233</v>
      </c>
      <c r="AW109" s="122" t="s">
        <v>233</v>
      </c>
      <c r="AX109" s="122" t="s">
        <v>233</v>
      </c>
      <c r="AY109" s="122" t="s">
        <v>233</v>
      </c>
      <c r="AZ109" s="122" t="s">
        <v>233</v>
      </c>
      <c r="BA109" s="122" t="s">
        <v>233</v>
      </c>
      <c r="BB109" s="122" t="s">
        <v>233</v>
      </c>
      <c r="BC109" s="122" t="s">
        <v>233</v>
      </c>
      <c r="BD109" s="122" t="s">
        <v>233</v>
      </c>
      <c r="BE109" s="122" t="s">
        <v>233</v>
      </c>
      <c r="BF109" s="122" t="s">
        <v>233</v>
      </c>
      <c r="BG109" s="122" t="s">
        <v>233</v>
      </c>
      <c r="BH109" s="122" t="s">
        <v>233</v>
      </c>
      <c r="BI109" s="122" t="s">
        <v>233</v>
      </c>
      <c r="BJ109" s="122" t="s">
        <v>232</v>
      </c>
    </row>
    <row r="110">
      <c r="A110" s="127">
        <v>46051.0</v>
      </c>
      <c r="D110" s="122" t="s">
        <v>233</v>
      </c>
      <c r="E110" s="122" t="s">
        <v>233</v>
      </c>
      <c r="G110" s="122" t="s">
        <v>234</v>
      </c>
      <c r="H110" s="122" t="s">
        <v>233</v>
      </c>
      <c r="I110" s="122" t="s">
        <v>233</v>
      </c>
      <c r="K110" s="122" t="s">
        <v>234</v>
      </c>
      <c r="M110" s="122" t="s">
        <v>233</v>
      </c>
      <c r="N110" s="122" t="s">
        <v>233</v>
      </c>
      <c r="O110" s="122" t="s">
        <v>234</v>
      </c>
      <c r="P110" s="122" t="s">
        <v>234</v>
      </c>
      <c r="Q110" s="122" t="s">
        <v>234</v>
      </c>
      <c r="R110" s="122" t="s">
        <v>234</v>
      </c>
      <c r="S110" s="122" t="s">
        <v>234</v>
      </c>
      <c r="T110" s="122" t="s">
        <v>234</v>
      </c>
      <c r="U110" s="122" t="s">
        <v>233</v>
      </c>
      <c r="V110" s="122" t="s">
        <v>233</v>
      </c>
      <c r="W110" s="122" t="s">
        <v>233</v>
      </c>
      <c r="AB110" s="122" t="s">
        <v>232</v>
      </c>
      <c r="AG110" s="122" t="s">
        <v>233</v>
      </c>
      <c r="AJ110" s="122" t="s">
        <v>233</v>
      </c>
      <c r="AN110" s="122" t="s">
        <v>233</v>
      </c>
      <c r="AO110" s="122" t="s">
        <v>233</v>
      </c>
      <c r="AR110" s="122" t="s">
        <v>233</v>
      </c>
      <c r="AT110" s="122" t="s">
        <v>233</v>
      </c>
      <c r="AU110" s="122" t="s">
        <v>233</v>
      </c>
      <c r="AV110" s="122" t="s">
        <v>233</v>
      </c>
      <c r="AW110" s="122" t="s">
        <v>233</v>
      </c>
      <c r="AX110" s="122" t="s">
        <v>234</v>
      </c>
      <c r="AY110" s="122" t="s">
        <v>234</v>
      </c>
      <c r="AZ110" s="122" t="s">
        <v>234</v>
      </c>
      <c r="BA110" s="122" t="s">
        <v>234</v>
      </c>
      <c r="BF110" s="122" t="s">
        <v>233</v>
      </c>
      <c r="BG110" s="122" t="s">
        <v>233</v>
      </c>
      <c r="BH110" s="122" t="s">
        <v>233</v>
      </c>
      <c r="BI110" s="122" t="s">
        <v>233</v>
      </c>
      <c r="BJ110" s="122" t="s">
        <v>232</v>
      </c>
    </row>
    <row r="111">
      <c r="A111" s="127">
        <v>46052.0</v>
      </c>
      <c r="G111" s="122" t="s">
        <v>233</v>
      </c>
      <c r="H111" s="122" t="s">
        <v>233</v>
      </c>
      <c r="I111" s="122" t="s">
        <v>233</v>
      </c>
      <c r="K111" s="122" t="s">
        <v>232</v>
      </c>
      <c r="M111" s="122" t="s">
        <v>233</v>
      </c>
      <c r="O111" s="122" t="s">
        <v>232</v>
      </c>
      <c r="P111" s="122" t="s">
        <v>233</v>
      </c>
      <c r="Q111" s="122" t="s">
        <v>233</v>
      </c>
      <c r="R111" s="122" t="s">
        <v>233</v>
      </c>
      <c r="S111" s="122" t="s">
        <v>233</v>
      </c>
      <c r="T111" s="122" t="s">
        <v>233</v>
      </c>
      <c r="U111" s="122" t="s">
        <v>232</v>
      </c>
      <c r="W111" s="122" t="s">
        <v>233</v>
      </c>
      <c r="AB111" s="122" t="s">
        <v>232</v>
      </c>
      <c r="AG111" s="122" t="s">
        <v>233</v>
      </c>
      <c r="AJ111" s="122" t="s">
        <v>234</v>
      </c>
      <c r="AN111" s="122" t="s">
        <v>233</v>
      </c>
      <c r="AO111" s="122" t="s">
        <v>233</v>
      </c>
      <c r="AR111" s="122" t="s">
        <v>234</v>
      </c>
      <c r="AV111" s="122" t="s">
        <v>234</v>
      </c>
      <c r="AX111" s="122" t="s">
        <v>232</v>
      </c>
      <c r="AY111" s="122" t="s">
        <v>233</v>
      </c>
      <c r="AZ111" s="122" t="s">
        <v>233</v>
      </c>
      <c r="BA111" s="122" t="s">
        <v>233</v>
      </c>
      <c r="BF111" s="122" t="s">
        <v>232</v>
      </c>
      <c r="BJ111" s="122" t="s">
        <v>232</v>
      </c>
    </row>
    <row r="112">
      <c r="A112" s="127">
        <v>46053.0</v>
      </c>
      <c r="C112" s="122" t="s">
        <v>232</v>
      </c>
      <c r="D112" s="122" t="s">
        <v>232</v>
      </c>
      <c r="E112" s="122" t="s">
        <v>232</v>
      </c>
      <c r="F112" s="122" t="s">
        <v>232</v>
      </c>
      <c r="G112" s="122" t="s">
        <v>233</v>
      </c>
      <c r="H112" s="122" t="s">
        <v>233</v>
      </c>
      <c r="I112" s="122" t="s">
        <v>233</v>
      </c>
      <c r="J112" s="122" t="s">
        <v>233</v>
      </c>
      <c r="K112" s="122" t="s">
        <v>232</v>
      </c>
      <c r="O112" s="122" t="s">
        <v>232</v>
      </c>
      <c r="P112" s="122" t="s">
        <v>233</v>
      </c>
      <c r="Q112" s="122" t="s">
        <v>233</v>
      </c>
      <c r="R112" s="122" t="s">
        <v>233</v>
      </c>
      <c r="S112" s="122" t="s">
        <v>233</v>
      </c>
      <c r="T112" s="122" t="s">
        <v>233</v>
      </c>
      <c r="U112" s="122" t="s">
        <v>232</v>
      </c>
      <c r="W112" s="122" t="s">
        <v>233</v>
      </c>
      <c r="X112" s="122" t="s">
        <v>233</v>
      </c>
      <c r="Y112" s="122" t="s">
        <v>233</v>
      </c>
      <c r="Z112" s="122" t="s">
        <v>233</v>
      </c>
      <c r="AB112" s="122" t="s">
        <v>232</v>
      </c>
      <c r="AE112" s="122" t="s">
        <v>232</v>
      </c>
      <c r="AI112" s="122" t="s">
        <v>233</v>
      </c>
      <c r="AJ112" s="122" t="s">
        <v>233</v>
      </c>
      <c r="AK112" s="122" t="s">
        <v>233</v>
      </c>
      <c r="AL112" s="122" t="s">
        <v>233</v>
      </c>
      <c r="AO112" s="122" t="s">
        <v>232</v>
      </c>
      <c r="AR112" s="122" t="s">
        <v>233</v>
      </c>
      <c r="AV112" s="122" t="s">
        <v>233</v>
      </c>
      <c r="AX112" s="122" t="s">
        <v>232</v>
      </c>
      <c r="AY112" s="122" t="s">
        <v>233</v>
      </c>
      <c r="AZ112" s="122" t="s">
        <v>233</v>
      </c>
      <c r="BA112" s="122" t="s">
        <v>233</v>
      </c>
      <c r="BF112" s="122" t="s">
        <v>232</v>
      </c>
      <c r="BJ112" s="122" t="s">
        <v>233</v>
      </c>
      <c r="BK112" s="122" t="s">
        <v>233</v>
      </c>
      <c r="BL112" s="122" t="s">
        <v>233</v>
      </c>
      <c r="BM112" s="122" t="s">
        <v>233</v>
      </c>
    </row>
    <row r="113">
      <c r="A113" s="127">
        <v>46054.0</v>
      </c>
      <c r="C113" s="122" t="s">
        <v>232</v>
      </c>
      <c r="D113" s="122" t="s">
        <v>232</v>
      </c>
      <c r="E113" s="122" t="s">
        <v>232</v>
      </c>
      <c r="F113" s="122" t="s">
        <v>232</v>
      </c>
      <c r="G113" s="122" t="s">
        <v>233</v>
      </c>
      <c r="H113" s="122" t="s">
        <v>233</v>
      </c>
      <c r="I113" s="122" t="s">
        <v>233</v>
      </c>
      <c r="J113" s="122" t="s">
        <v>233</v>
      </c>
      <c r="K113" s="122" t="s">
        <v>232</v>
      </c>
      <c r="U113" s="122" t="s">
        <v>232</v>
      </c>
      <c r="W113" s="122" t="s">
        <v>233</v>
      </c>
      <c r="X113" s="122" t="s">
        <v>233</v>
      </c>
      <c r="Y113" s="122" t="s">
        <v>233</v>
      </c>
      <c r="Z113" s="122" t="s">
        <v>233</v>
      </c>
      <c r="AB113" s="122" t="s">
        <v>232</v>
      </c>
      <c r="AE113" s="122" t="s">
        <v>232</v>
      </c>
      <c r="AI113" s="122" t="s">
        <v>233</v>
      </c>
      <c r="AJ113" s="122" t="s">
        <v>233</v>
      </c>
      <c r="AK113" s="122" t="s">
        <v>233</v>
      </c>
      <c r="AL113" s="122" t="s">
        <v>233</v>
      </c>
      <c r="AO113" s="122" t="s">
        <v>232</v>
      </c>
      <c r="AR113" s="122" t="s">
        <v>233</v>
      </c>
      <c r="AS113" s="122" t="s">
        <v>232</v>
      </c>
      <c r="AV113" s="122" t="s">
        <v>233</v>
      </c>
      <c r="AX113" s="122" t="s">
        <v>232</v>
      </c>
      <c r="BF113" s="122" t="s">
        <v>232</v>
      </c>
      <c r="BG113" s="122" t="s">
        <v>232</v>
      </c>
      <c r="BI113" s="122" t="s">
        <v>232</v>
      </c>
      <c r="BJ113" s="122" t="s">
        <v>233</v>
      </c>
      <c r="BK113" s="122" t="s">
        <v>233</v>
      </c>
      <c r="BL113" s="122" t="s">
        <v>233</v>
      </c>
      <c r="BM113" s="122" t="s">
        <v>233</v>
      </c>
    </row>
    <row r="114">
      <c r="A114" s="127">
        <v>46055.0</v>
      </c>
      <c r="G114" s="122" t="s">
        <v>234</v>
      </c>
      <c r="H114" s="122" t="s">
        <v>234</v>
      </c>
      <c r="I114" s="122" t="s">
        <v>234</v>
      </c>
      <c r="J114" s="122" t="s">
        <v>234</v>
      </c>
      <c r="U114" s="122" t="s">
        <v>232</v>
      </c>
      <c r="W114" s="122" t="s">
        <v>234</v>
      </c>
      <c r="X114" s="122" t="s">
        <v>234</v>
      </c>
      <c r="Y114" s="122" t="s">
        <v>234</v>
      </c>
      <c r="Z114" s="122" t="s">
        <v>234</v>
      </c>
      <c r="AB114" s="122" t="s">
        <v>232</v>
      </c>
      <c r="AD114" s="122" t="s">
        <v>232</v>
      </c>
      <c r="AI114" s="122" t="s">
        <v>234</v>
      </c>
      <c r="AJ114" s="122" t="s">
        <v>234</v>
      </c>
      <c r="AK114" s="122" t="s">
        <v>234</v>
      </c>
      <c r="AL114" s="122" t="s">
        <v>234</v>
      </c>
      <c r="AR114" s="122" t="s">
        <v>233</v>
      </c>
      <c r="AV114" s="122" t="s">
        <v>233</v>
      </c>
      <c r="AX114" s="122" t="s">
        <v>232</v>
      </c>
      <c r="AY114" s="122" t="s">
        <v>232</v>
      </c>
      <c r="BC114" s="122" t="s">
        <v>232</v>
      </c>
      <c r="BF114" s="122" t="s">
        <v>232</v>
      </c>
      <c r="BI114" s="122" t="s">
        <v>232</v>
      </c>
      <c r="BJ114" s="122" t="s">
        <v>234</v>
      </c>
      <c r="BK114" s="122" t="s">
        <v>234</v>
      </c>
      <c r="BL114" s="122" t="s">
        <v>234</v>
      </c>
      <c r="BM114" s="122" t="s">
        <v>234</v>
      </c>
    </row>
    <row r="115">
      <c r="A115" s="127">
        <v>46056.0</v>
      </c>
      <c r="G115" s="122" t="s">
        <v>233</v>
      </c>
      <c r="H115" s="122" t="s">
        <v>233</v>
      </c>
      <c r="I115" s="122" t="s">
        <v>233</v>
      </c>
      <c r="J115" s="122" t="s">
        <v>233</v>
      </c>
      <c r="U115" s="122" t="s">
        <v>232</v>
      </c>
      <c r="W115" s="122" t="s">
        <v>234</v>
      </c>
      <c r="X115" s="122" t="s">
        <v>234</v>
      </c>
      <c r="Y115" s="122" t="s">
        <v>234</v>
      </c>
      <c r="Z115" s="122" t="s">
        <v>234</v>
      </c>
      <c r="AB115" s="122" t="s">
        <v>232</v>
      </c>
      <c r="AI115" s="122" t="s">
        <v>233</v>
      </c>
      <c r="AJ115" s="122" t="s">
        <v>234</v>
      </c>
      <c r="AK115" s="122" t="s">
        <v>233</v>
      </c>
      <c r="AL115" s="122" t="s">
        <v>233</v>
      </c>
      <c r="AR115" s="122" t="s">
        <v>234</v>
      </c>
      <c r="AT115" s="122" t="s">
        <v>233</v>
      </c>
      <c r="AU115" s="122" t="s">
        <v>233</v>
      </c>
      <c r="AV115" s="122" t="s">
        <v>234</v>
      </c>
      <c r="AW115" s="122" t="s">
        <v>233</v>
      </c>
      <c r="AX115" s="122" t="s">
        <v>232</v>
      </c>
      <c r="BC115" s="122" t="s">
        <v>232</v>
      </c>
      <c r="BF115" s="122" t="s">
        <v>232</v>
      </c>
      <c r="BI115" s="122" t="s">
        <v>232</v>
      </c>
      <c r="BJ115" s="122" t="s">
        <v>233</v>
      </c>
      <c r="BK115" s="122" t="s">
        <v>233</v>
      </c>
      <c r="BL115" s="122" t="s">
        <v>233</v>
      </c>
      <c r="BM115" s="122" t="s">
        <v>233</v>
      </c>
      <c r="BN115" s="122" t="s">
        <v>233</v>
      </c>
      <c r="BO115" s="122" t="s">
        <v>233</v>
      </c>
    </row>
    <row r="116">
      <c r="A116" s="127">
        <v>46057.0</v>
      </c>
      <c r="G116" s="122" t="s">
        <v>233</v>
      </c>
      <c r="H116" s="122" t="s">
        <v>233</v>
      </c>
      <c r="I116" s="122" t="s">
        <v>233</v>
      </c>
      <c r="J116" s="122" t="s">
        <v>233</v>
      </c>
      <c r="P116" s="122" t="s">
        <v>233</v>
      </c>
      <c r="Q116" s="122" t="s">
        <v>233</v>
      </c>
      <c r="R116" s="122" t="s">
        <v>233</v>
      </c>
      <c r="U116" s="122" t="s">
        <v>232</v>
      </c>
      <c r="W116" s="122" t="s">
        <v>233</v>
      </c>
      <c r="X116" s="122" t="s">
        <v>233</v>
      </c>
      <c r="Y116" s="122" t="s">
        <v>233</v>
      </c>
      <c r="Z116" s="122" t="s">
        <v>233</v>
      </c>
      <c r="AB116" s="122" t="s">
        <v>232</v>
      </c>
      <c r="AI116" s="122" t="s">
        <v>233</v>
      </c>
      <c r="AJ116" s="122" t="s">
        <v>233</v>
      </c>
      <c r="AK116" s="122" t="s">
        <v>233</v>
      </c>
      <c r="AL116" s="122" t="s">
        <v>233</v>
      </c>
      <c r="AR116" s="122" t="s">
        <v>233</v>
      </c>
      <c r="AT116" s="122" t="s">
        <v>233</v>
      </c>
      <c r="AU116" s="122" t="s">
        <v>233</v>
      </c>
      <c r="AV116" s="122" t="s">
        <v>233</v>
      </c>
      <c r="AW116" s="122" t="s">
        <v>233</v>
      </c>
      <c r="AX116" s="122" t="s">
        <v>232</v>
      </c>
      <c r="BC116" s="122" t="s">
        <v>232</v>
      </c>
      <c r="BF116" s="122" t="s">
        <v>232</v>
      </c>
      <c r="BI116" s="122" t="s">
        <v>232</v>
      </c>
      <c r="BJ116" s="122" t="s">
        <v>233</v>
      </c>
      <c r="BK116" s="122" t="s">
        <v>233</v>
      </c>
      <c r="BL116" s="122" t="s">
        <v>233</v>
      </c>
      <c r="BM116" s="122" t="s">
        <v>233</v>
      </c>
      <c r="BN116" s="122" t="s">
        <v>233</v>
      </c>
      <c r="BO116" s="122" t="s">
        <v>233</v>
      </c>
    </row>
    <row r="117">
      <c r="A117" s="127">
        <v>46058.0</v>
      </c>
      <c r="P117" s="122" t="s">
        <v>233</v>
      </c>
      <c r="Q117" s="122" t="s">
        <v>233</v>
      </c>
      <c r="R117" s="122" t="s">
        <v>233</v>
      </c>
      <c r="U117" s="122" t="s">
        <v>232</v>
      </c>
      <c r="W117" s="122" t="s">
        <v>233</v>
      </c>
      <c r="X117" s="122" t="s">
        <v>233</v>
      </c>
      <c r="Y117" s="122" t="s">
        <v>233</v>
      </c>
      <c r="Z117" s="122" t="s">
        <v>233</v>
      </c>
      <c r="AB117" s="122" t="s">
        <v>232</v>
      </c>
      <c r="AJ117" s="122" t="s">
        <v>233</v>
      </c>
      <c r="AR117" s="122" t="s">
        <v>233</v>
      </c>
      <c r="AT117" s="122" t="s">
        <v>234</v>
      </c>
      <c r="AU117" s="122" t="s">
        <v>234</v>
      </c>
      <c r="AV117" s="122" t="s">
        <v>234</v>
      </c>
      <c r="AW117" s="122" t="s">
        <v>234</v>
      </c>
      <c r="AX117" s="122" t="s">
        <v>232</v>
      </c>
      <c r="BC117" s="122" t="s">
        <v>232</v>
      </c>
      <c r="BF117" s="122" t="s">
        <v>232</v>
      </c>
      <c r="BI117" s="122" t="s">
        <v>232</v>
      </c>
      <c r="BL117" s="122" t="s">
        <v>234</v>
      </c>
      <c r="BM117" s="122" t="s">
        <v>234</v>
      </c>
      <c r="BN117" s="122" t="s">
        <v>234</v>
      </c>
      <c r="BO117" s="122" t="s">
        <v>234</v>
      </c>
    </row>
    <row r="118">
      <c r="A118" s="127">
        <v>46059.0</v>
      </c>
      <c r="O118" s="122" t="s">
        <v>232</v>
      </c>
      <c r="P118" s="122" t="s">
        <v>234</v>
      </c>
      <c r="Q118" s="122" t="s">
        <v>234</v>
      </c>
      <c r="R118" s="122" t="s">
        <v>234</v>
      </c>
      <c r="U118" s="122" t="s">
        <v>232</v>
      </c>
      <c r="AA118" s="122" t="s">
        <v>233</v>
      </c>
      <c r="AB118" s="122" t="s">
        <v>232</v>
      </c>
      <c r="AC118" s="122" t="s">
        <v>233</v>
      </c>
      <c r="AD118" s="122" t="s">
        <v>233</v>
      </c>
      <c r="AG118" s="122" t="s">
        <v>232</v>
      </c>
      <c r="AT118" s="122" t="s">
        <v>233</v>
      </c>
      <c r="AU118" s="122" t="s">
        <v>233</v>
      </c>
      <c r="AV118" s="122" t="s">
        <v>233</v>
      </c>
      <c r="AW118" s="122" t="s">
        <v>233</v>
      </c>
      <c r="AX118" s="122" t="s">
        <v>232</v>
      </c>
      <c r="BB118" s="122" t="s">
        <v>232</v>
      </c>
      <c r="BC118" s="122" t="s">
        <v>232</v>
      </c>
      <c r="BE118" s="122" t="s">
        <v>232</v>
      </c>
      <c r="BF118" s="122" t="s">
        <v>232</v>
      </c>
      <c r="BI118" s="122" t="s">
        <v>232</v>
      </c>
      <c r="BL118" s="122" t="s">
        <v>233</v>
      </c>
      <c r="BM118" s="122" t="s">
        <v>233</v>
      </c>
      <c r="BN118" s="122" t="s">
        <v>233</v>
      </c>
      <c r="BO118" s="122" t="s">
        <v>233</v>
      </c>
    </row>
    <row r="119">
      <c r="A119" s="127">
        <v>46060.0</v>
      </c>
      <c r="C119" s="122" t="s">
        <v>232</v>
      </c>
      <c r="D119" s="122" t="s">
        <v>232</v>
      </c>
      <c r="E119" s="122" t="s">
        <v>232</v>
      </c>
      <c r="F119" s="122" t="s">
        <v>232</v>
      </c>
      <c r="G119" s="122" t="s">
        <v>233</v>
      </c>
      <c r="K119" s="122" t="s">
        <v>233</v>
      </c>
      <c r="O119" s="122" t="s">
        <v>232</v>
      </c>
      <c r="P119" s="122" t="s">
        <v>233</v>
      </c>
      <c r="Q119" s="122" t="s">
        <v>233</v>
      </c>
      <c r="R119" s="122" t="s">
        <v>233</v>
      </c>
      <c r="S119" s="122" t="s">
        <v>233</v>
      </c>
      <c r="T119" s="122" t="s">
        <v>233</v>
      </c>
      <c r="AA119" s="122" t="s">
        <v>233</v>
      </c>
      <c r="AB119" s="122" t="s">
        <v>232</v>
      </c>
      <c r="AC119" s="122" t="s">
        <v>233</v>
      </c>
      <c r="AD119" s="122" t="s">
        <v>233</v>
      </c>
      <c r="AE119" s="122" t="s">
        <v>232</v>
      </c>
      <c r="AG119" s="122" t="s">
        <v>232</v>
      </c>
      <c r="AO119" s="122" t="s">
        <v>232</v>
      </c>
      <c r="AT119" s="122" t="s">
        <v>233</v>
      </c>
      <c r="AU119" s="122" t="s">
        <v>233</v>
      </c>
      <c r="AV119" s="122" t="s">
        <v>233</v>
      </c>
      <c r="AW119" s="122" t="s">
        <v>233</v>
      </c>
      <c r="AX119" s="122" t="s">
        <v>232</v>
      </c>
      <c r="BC119" s="122" t="s">
        <v>232</v>
      </c>
      <c r="BE119" s="122" t="s">
        <v>232</v>
      </c>
      <c r="BF119" s="122" t="s">
        <v>232</v>
      </c>
      <c r="BI119" s="122" t="s">
        <v>232</v>
      </c>
      <c r="BJ119" s="122" t="s">
        <v>233</v>
      </c>
      <c r="BK119" s="122" t="s">
        <v>233</v>
      </c>
      <c r="BL119" s="122" t="s">
        <v>233</v>
      </c>
      <c r="BM119" s="122" t="s">
        <v>233</v>
      </c>
      <c r="BN119" s="122" t="s">
        <v>233</v>
      </c>
      <c r="BO119" s="122" t="s">
        <v>233</v>
      </c>
    </row>
    <row r="120">
      <c r="A120" s="127">
        <v>46061.0</v>
      </c>
      <c r="C120" s="122" t="s">
        <v>232</v>
      </c>
      <c r="D120" s="122" t="s">
        <v>232</v>
      </c>
      <c r="E120" s="122" t="s">
        <v>232</v>
      </c>
      <c r="F120" s="122" t="s">
        <v>232</v>
      </c>
      <c r="G120" s="122" t="s">
        <v>233</v>
      </c>
      <c r="K120" s="122" t="s">
        <v>233</v>
      </c>
      <c r="O120" s="122" t="s">
        <v>233</v>
      </c>
      <c r="P120" s="122" t="s">
        <v>233</v>
      </c>
      <c r="Q120" s="122" t="s">
        <v>233</v>
      </c>
      <c r="R120" s="122" t="s">
        <v>233</v>
      </c>
      <c r="S120" s="122" t="s">
        <v>233</v>
      </c>
      <c r="T120" s="122" t="s">
        <v>233</v>
      </c>
      <c r="W120" s="122" t="s">
        <v>233</v>
      </c>
      <c r="X120" s="122" t="s">
        <v>233</v>
      </c>
      <c r="Y120" s="122" t="s">
        <v>233</v>
      </c>
      <c r="Z120" s="122" t="s">
        <v>233</v>
      </c>
      <c r="AA120" s="122" t="s">
        <v>234</v>
      </c>
      <c r="AB120" s="122" t="s">
        <v>232</v>
      </c>
      <c r="AC120" s="122" t="s">
        <v>234</v>
      </c>
      <c r="AD120" s="122" t="s">
        <v>234</v>
      </c>
      <c r="AE120" s="122" t="s">
        <v>232</v>
      </c>
      <c r="AG120" s="122" t="s">
        <v>232</v>
      </c>
      <c r="AO120" s="122" t="s">
        <v>232</v>
      </c>
      <c r="AT120" s="122" t="s">
        <v>233</v>
      </c>
      <c r="AU120" s="122" t="s">
        <v>233</v>
      </c>
      <c r="AV120" s="122" t="s">
        <v>233</v>
      </c>
      <c r="AW120" s="122" t="s">
        <v>233</v>
      </c>
      <c r="AX120" s="122" t="s">
        <v>232</v>
      </c>
      <c r="BB120" s="122" t="s">
        <v>233</v>
      </c>
      <c r="BC120" s="122" t="s">
        <v>232</v>
      </c>
      <c r="BD120" s="122" t="s">
        <v>233</v>
      </c>
      <c r="BE120" s="122" t="s">
        <v>233</v>
      </c>
      <c r="BF120" s="122" t="s">
        <v>232</v>
      </c>
      <c r="BG120" s="122" t="s">
        <v>232</v>
      </c>
      <c r="BI120" s="122" t="s">
        <v>232</v>
      </c>
      <c r="BJ120" s="122" t="s">
        <v>233</v>
      </c>
      <c r="BK120" s="122" t="s">
        <v>233</v>
      </c>
      <c r="BL120" s="122" t="s">
        <v>233</v>
      </c>
      <c r="BM120" s="122" t="s">
        <v>233</v>
      </c>
    </row>
    <row r="121">
      <c r="A121" s="127">
        <v>46062.0</v>
      </c>
      <c r="G121" s="122" t="s">
        <v>234</v>
      </c>
      <c r="K121" s="122" t="s">
        <v>234</v>
      </c>
      <c r="O121" s="122" t="s">
        <v>234</v>
      </c>
      <c r="P121" s="122" t="s">
        <v>234</v>
      </c>
      <c r="Q121" s="122" t="s">
        <v>234</v>
      </c>
      <c r="R121" s="122" t="s">
        <v>234</v>
      </c>
      <c r="S121" s="122" t="s">
        <v>234</v>
      </c>
      <c r="T121" s="122" t="s">
        <v>234</v>
      </c>
      <c r="W121" s="122" t="s">
        <v>233</v>
      </c>
      <c r="X121" s="122" t="s">
        <v>233</v>
      </c>
      <c r="Y121" s="122" t="s">
        <v>233</v>
      </c>
      <c r="Z121" s="122" t="s">
        <v>233</v>
      </c>
      <c r="AA121" s="122" t="s">
        <v>232</v>
      </c>
      <c r="AB121" s="122" t="s">
        <v>232</v>
      </c>
      <c r="AC121" s="122" t="s">
        <v>233</v>
      </c>
      <c r="AD121" s="122" t="s">
        <v>232</v>
      </c>
      <c r="AG121" s="122" t="s">
        <v>232</v>
      </c>
      <c r="AT121" s="122" t="s">
        <v>233</v>
      </c>
      <c r="AU121" s="122" t="s">
        <v>233</v>
      </c>
      <c r="AV121" s="122" t="s">
        <v>233</v>
      </c>
      <c r="AW121" s="122" t="s">
        <v>233</v>
      </c>
      <c r="AX121" s="122" t="s">
        <v>232</v>
      </c>
      <c r="AY121" s="122" t="s">
        <v>232</v>
      </c>
      <c r="BB121" s="122" t="s">
        <v>233</v>
      </c>
      <c r="BC121" s="122" t="s">
        <v>232</v>
      </c>
      <c r="BD121" s="122" t="s">
        <v>233</v>
      </c>
      <c r="BE121" s="122" t="s">
        <v>233</v>
      </c>
      <c r="BF121" s="122" t="s">
        <v>232</v>
      </c>
      <c r="BI121" s="122" t="s">
        <v>232</v>
      </c>
      <c r="BJ121" s="122" t="s">
        <v>234</v>
      </c>
      <c r="BK121" s="122" t="s">
        <v>234</v>
      </c>
      <c r="BL121" s="122" t="s">
        <v>234</v>
      </c>
      <c r="BM121" s="122" t="s">
        <v>234</v>
      </c>
    </row>
    <row r="122">
      <c r="A122" s="127">
        <v>46063.0</v>
      </c>
      <c r="G122" s="122" t="s">
        <v>233</v>
      </c>
      <c r="K122" s="122" t="s">
        <v>233</v>
      </c>
      <c r="L122" s="122" t="s">
        <v>233</v>
      </c>
      <c r="M122" s="122" t="s">
        <v>233</v>
      </c>
      <c r="N122" s="122" t="s">
        <v>233</v>
      </c>
      <c r="O122" s="122" t="s">
        <v>233</v>
      </c>
      <c r="P122" s="122" t="s">
        <v>233</v>
      </c>
      <c r="Q122" s="122" t="s">
        <v>233</v>
      </c>
      <c r="R122" s="122" t="s">
        <v>233</v>
      </c>
      <c r="S122" s="122" t="s">
        <v>233</v>
      </c>
      <c r="T122" s="122" t="s">
        <v>233</v>
      </c>
      <c r="W122" s="122" t="s">
        <v>234</v>
      </c>
      <c r="X122" s="122" t="s">
        <v>234</v>
      </c>
      <c r="Y122" s="122" t="s">
        <v>234</v>
      </c>
      <c r="Z122" s="122" t="s">
        <v>234</v>
      </c>
      <c r="AA122" s="122" t="s">
        <v>232</v>
      </c>
      <c r="AB122" s="122" t="s">
        <v>232</v>
      </c>
      <c r="AC122" s="122" t="s">
        <v>233</v>
      </c>
      <c r="AD122" s="122" t="s">
        <v>233</v>
      </c>
      <c r="AM122" s="122" t="s">
        <v>233</v>
      </c>
      <c r="AT122" s="122" t="s">
        <v>234</v>
      </c>
      <c r="AU122" s="122" t="s">
        <v>234</v>
      </c>
      <c r="AV122" s="122" t="s">
        <v>234</v>
      </c>
      <c r="AW122" s="122" t="s">
        <v>234</v>
      </c>
      <c r="BB122" s="122" t="s">
        <v>234</v>
      </c>
      <c r="BC122" s="122" t="s">
        <v>234</v>
      </c>
      <c r="BD122" s="122" t="s">
        <v>234</v>
      </c>
      <c r="BE122" s="122" t="s">
        <v>234</v>
      </c>
      <c r="BF122" s="122" t="s">
        <v>232</v>
      </c>
      <c r="BI122" s="122" t="s">
        <v>232</v>
      </c>
      <c r="BJ122" s="122" t="s">
        <v>233</v>
      </c>
      <c r="BK122" s="122" t="s">
        <v>233</v>
      </c>
      <c r="BL122" s="122" t="s">
        <v>233</v>
      </c>
      <c r="BM122" s="122" t="s">
        <v>233</v>
      </c>
    </row>
    <row r="123">
      <c r="A123" s="127">
        <v>46064.0</v>
      </c>
      <c r="G123" s="122" t="s">
        <v>233</v>
      </c>
      <c r="K123" s="122" t="s">
        <v>233</v>
      </c>
      <c r="L123" s="122" t="s">
        <v>233</v>
      </c>
      <c r="M123" s="122" t="s">
        <v>233</v>
      </c>
      <c r="N123" s="122" t="s">
        <v>233</v>
      </c>
      <c r="O123" s="122" t="s">
        <v>233</v>
      </c>
      <c r="P123" s="122" t="s">
        <v>233</v>
      </c>
      <c r="Q123" s="122" t="s">
        <v>233</v>
      </c>
      <c r="R123" s="122" t="s">
        <v>233</v>
      </c>
      <c r="S123" s="122" t="s">
        <v>233</v>
      </c>
      <c r="T123" s="122" t="s">
        <v>233</v>
      </c>
      <c r="W123" s="122" t="s">
        <v>233</v>
      </c>
      <c r="X123" s="122" t="s">
        <v>233</v>
      </c>
      <c r="Y123" s="122" t="s">
        <v>233</v>
      </c>
      <c r="Z123" s="122" t="s">
        <v>233</v>
      </c>
      <c r="AA123" s="122" t="s">
        <v>232</v>
      </c>
      <c r="AB123" s="122" t="s">
        <v>232</v>
      </c>
      <c r="AC123" s="122" t="s">
        <v>233</v>
      </c>
      <c r="AM123" s="122" t="s">
        <v>233</v>
      </c>
      <c r="AT123" s="122" t="s">
        <v>233</v>
      </c>
      <c r="AU123" s="122" t="s">
        <v>233</v>
      </c>
      <c r="AV123" s="122" t="s">
        <v>233</v>
      </c>
      <c r="AW123" s="122" t="s">
        <v>233</v>
      </c>
      <c r="BB123" s="122" t="s">
        <v>232</v>
      </c>
      <c r="BC123" s="122" t="s">
        <v>233</v>
      </c>
      <c r="BD123" s="122" t="s">
        <v>233</v>
      </c>
      <c r="BE123" s="122" t="s">
        <v>233</v>
      </c>
      <c r="BF123" s="122" t="s">
        <v>232</v>
      </c>
      <c r="BI123" s="122" t="s">
        <v>232</v>
      </c>
      <c r="BJ123" s="122" t="s">
        <v>233</v>
      </c>
      <c r="BK123" s="122" t="s">
        <v>233</v>
      </c>
      <c r="BL123" s="122" t="s">
        <v>233</v>
      </c>
      <c r="BM123" s="122" t="s">
        <v>233</v>
      </c>
    </row>
    <row r="124">
      <c r="A124" s="127">
        <v>46065.0</v>
      </c>
      <c r="K124" s="122" t="s">
        <v>234</v>
      </c>
      <c r="L124" s="122" t="s">
        <v>234</v>
      </c>
      <c r="M124" s="122" t="s">
        <v>234</v>
      </c>
      <c r="N124" s="122" t="s">
        <v>234</v>
      </c>
      <c r="O124" s="122" t="s">
        <v>234</v>
      </c>
      <c r="P124" s="122" t="s">
        <v>234</v>
      </c>
      <c r="Q124" s="122" t="s">
        <v>234</v>
      </c>
      <c r="R124" s="122" t="s">
        <v>234</v>
      </c>
      <c r="W124" s="122" t="s">
        <v>233</v>
      </c>
      <c r="X124" s="122" t="s">
        <v>234</v>
      </c>
      <c r="Y124" s="122" t="s">
        <v>234</v>
      </c>
      <c r="Z124" s="122" t="s">
        <v>233</v>
      </c>
      <c r="AA124" s="122" t="s">
        <v>232</v>
      </c>
      <c r="AB124" s="122" t="s">
        <v>232</v>
      </c>
      <c r="AC124" s="122" t="s">
        <v>234</v>
      </c>
      <c r="AM124" s="122" t="s">
        <v>234</v>
      </c>
      <c r="AT124" s="122" t="s">
        <v>233</v>
      </c>
      <c r="AU124" s="122" t="s">
        <v>233</v>
      </c>
      <c r="AV124" s="122" t="s">
        <v>233</v>
      </c>
      <c r="AW124" s="122" t="s">
        <v>233</v>
      </c>
      <c r="BB124" s="122" t="s">
        <v>232</v>
      </c>
      <c r="BC124" s="122" t="s">
        <v>233</v>
      </c>
      <c r="BD124" s="122" t="s">
        <v>233</v>
      </c>
      <c r="BE124" s="122" t="s">
        <v>233</v>
      </c>
      <c r="BF124" s="122" t="s">
        <v>232</v>
      </c>
      <c r="BI124" s="122" t="s">
        <v>232</v>
      </c>
    </row>
    <row r="125">
      <c r="A125" s="127">
        <v>46066.0</v>
      </c>
      <c r="K125" s="122" t="s">
        <v>233</v>
      </c>
      <c r="L125" s="122" t="s">
        <v>233</v>
      </c>
      <c r="M125" s="122" t="s">
        <v>233</v>
      </c>
      <c r="N125" s="122" t="s">
        <v>233</v>
      </c>
      <c r="O125" s="122" t="s">
        <v>232</v>
      </c>
      <c r="P125" s="122" t="s">
        <v>233</v>
      </c>
      <c r="Q125" s="122" t="s">
        <v>233</v>
      </c>
      <c r="R125" s="122" t="s">
        <v>233</v>
      </c>
      <c r="V125" s="122" t="s">
        <v>232</v>
      </c>
      <c r="X125" s="122" t="s">
        <v>233</v>
      </c>
      <c r="Y125" s="122" t="s">
        <v>233</v>
      </c>
      <c r="AA125" s="122" t="s">
        <v>232</v>
      </c>
      <c r="AB125" s="122" t="s">
        <v>232</v>
      </c>
      <c r="AC125" s="122" t="s">
        <v>233</v>
      </c>
      <c r="AM125" s="122" t="s">
        <v>233</v>
      </c>
      <c r="AN125" s="122" t="s">
        <v>233</v>
      </c>
      <c r="AQ125" s="122" t="s">
        <v>233</v>
      </c>
      <c r="AR125" s="122" t="s">
        <v>233</v>
      </c>
      <c r="AS125" s="122" t="s">
        <v>233</v>
      </c>
      <c r="BB125" s="122" t="s">
        <v>232</v>
      </c>
      <c r="BF125" s="122" t="s">
        <v>232</v>
      </c>
      <c r="BI125" s="122" t="s">
        <v>232</v>
      </c>
    </row>
    <row r="126">
      <c r="A126" s="127">
        <v>46067.0</v>
      </c>
      <c r="C126" s="122" t="s">
        <v>232</v>
      </c>
      <c r="D126" s="122" t="s">
        <v>232</v>
      </c>
      <c r="E126" s="122" t="s">
        <v>232</v>
      </c>
      <c r="F126" s="122" t="s">
        <v>232</v>
      </c>
      <c r="K126" s="122" t="s">
        <v>233</v>
      </c>
      <c r="L126" s="122" t="s">
        <v>233</v>
      </c>
      <c r="M126" s="122" t="s">
        <v>233</v>
      </c>
      <c r="N126" s="122" t="s">
        <v>233</v>
      </c>
      <c r="O126" s="122" t="s">
        <v>232</v>
      </c>
      <c r="P126" s="122" t="s">
        <v>233</v>
      </c>
      <c r="Q126" s="122" t="s">
        <v>233</v>
      </c>
      <c r="R126" s="122" t="s">
        <v>233</v>
      </c>
      <c r="V126" s="122" t="s">
        <v>232</v>
      </c>
      <c r="X126" s="122" t="s">
        <v>233</v>
      </c>
      <c r="Y126" s="122" t="s">
        <v>232</v>
      </c>
      <c r="Z126" s="122" t="s">
        <v>232</v>
      </c>
      <c r="AA126" s="122" t="s">
        <v>232</v>
      </c>
      <c r="AB126" s="122" t="s">
        <v>232</v>
      </c>
      <c r="AC126" s="122" t="s">
        <v>233</v>
      </c>
      <c r="AE126" s="122" t="s">
        <v>232</v>
      </c>
      <c r="AI126" s="122" t="s">
        <v>233</v>
      </c>
      <c r="AJ126" s="122" t="s">
        <v>233</v>
      </c>
      <c r="AK126" s="122" t="s">
        <v>233</v>
      </c>
      <c r="AL126" s="122" t="s">
        <v>233</v>
      </c>
      <c r="AM126" s="122" t="s">
        <v>233</v>
      </c>
      <c r="AN126" s="122" t="s">
        <v>233</v>
      </c>
      <c r="AO126" s="122" t="s">
        <v>232</v>
      </c>
      <c r="AQ126" s="122" t="s">
        <v>233</v>
      </c>
      <c r="AR126" s="122" t="s">
        <v>233</v>
      </c>
      <c r="AS126" s="122" t="s">
        <v>232</v>
      </c>
      <c r="BB126" s="122" t="s">
        <v>232</v>
      </c>
      <c r="BF126" s="122" t="s">
        <v>232</v>
      </c>
      <c r="BI126" s="122" t="s">
        <v>232</v>
      </c>
      <c r="BL126" s="122" t="s">
        <v>233</v>
      </c>
      <c r="BM126" s="122" t="s">
        <v>233</v>
      </c>
      <c r="BN126" s="122" t="s">
        <v>233</v>
      </c>
      <c r="BO126" s="122" t="s">
        <v>233</v>
      </c>
    </row>
    <row r="127">
      <c r="A127" s="127">
        <v>46068.0</v>
      </c>
      <c r="C127" s="122" t="s">
        <v>232</v>
      </c>
      <c r="D127" s="122" t="s">
        <v>232</v>
      </c>
      <c r="E127" s="122" t="s">
        <v>232</v>
      </c>
      <c r="F127" s="122" t="s">
        <v>232</v>
      </c>
      <c r="K127" s="122" t="s">
        <v>233</v>
      </c>
      <c r="L127" s="122" t="s">
        <v>233</v>
      </c>
      <c r="M127" s="122" t="s">
        <v>233</v>
      </c>
      <c r="N127" s="122" t="s">
        <v>233</v>
      </c>
      <c r="O127" s="122" t="s">
        <v>232</v>
      </c>
      <c r="Y127" s="122" t="s">
        <v>232</v>
      </c>
      <c r="Z127" s="122" t="s">
        <v>232</v>
      </c>
      <c r="AA127" s="122" t="s">
        <v>232</v>
      </c>
      <c r="AB127" s="122" t="s">
        <v>232</v>
      </c>
      <c r="AE127" s="122" t="s">
        <v>232</v>
      </c>
      <c r="AI127" s="122" t="s">
        <v>233</v>
      </c>
      <c r="AJ127" s="122" t="s">
        <v>233</v>
      </c>
      <c r="AK127" s="122" t="s">
        <v>233</v>
      </c>
      <c r="AL127" s="122" t="s">
        <v>233</v>
      </c>
      <c r="AN127" s="122" t="s">
        <v>234</v>
      </c>
      <c r="AO127" s="122" t="s">
        <v>232</v>
      </c>
      <c r="AQ127" s="122" t="s">
        <v>234</v>
      </c>
      <c r="AR127" s="122" t="s">
        <v>234</v>
      </c>
      <c r="AS127" s="122" t="s">
        <v>234</v>
      </c>
      <c r="BB127" s="122" t="s">
        <v>232</v>
      </c>
      <c r="BF127" s="122" t="s">
        <v>232</v>
      </c>
      <c r="BG127" s="122" t="s">
        <v>232</v>
      </c>
      <c r="BI127" s="122" t="s">
        <v>232</v>
      </c>
      <c r="BL127" s="122" t="s">
        <v>233</v>
      </c>
      <c r="BM127" s="122" t="s">
        <v>233</v>
      </c>
      <c r="BN127" s="122" t="s">
        <v>233</v>
      </c>
      <c r="BO127" s="122" t="s">
        <v>233</v>
      </c>
    </row>
    <row r="128">
      <c r="A128" s="127">
        <v>46069.0</v>
      </c>
      <c r="K128" s="122" t="s">
        <v>234</v>
      </c>
      <c r="L128" s="122" t="s">
        <v>234</v>
      </c>
      <c r="M128" s="122" t="s">
        <v>234</v>
      </c>
      <c r="N128" s="122" t="s">
        <v>234</v>
      </c>
      <c r="O128" s="122" t="s">
        <v>232</v>
      </c>
      <c r="Y128" s="122" t="s">
        <v>232</v>
      </c>
      <c r="AA128" s="122" t="s">
        <v>232</v>
      </c>
      <c r="AB128" s="122" t="s">
        <v>232</v>
      </c>
      <c r="AD128" s="122" t="s">
        <v>232</v>
      </c>
      <c r="AI128" s="122" t="s">
        <v>234</v>
      </c>
      <c r="AJ128" s="122" t="s">
        <v>234</v>
      </c>
      <c r="AK128" s="122" t="s">
        <v>234</v>
      </c>
      <c r="AL128" s="122" t="s">
        <v>234</v>
      </c>
      <c r="AN128" s="122" t="s">
        <v>233</v>
      </c>
      <c r="AQ128" s="122" t="s">
        <v>233</v>
      </c>
      <c r="AR128" s="122" t="s">
        <v>233</v>
      </c>
      <c r="AS128" s="122" t="s">
        <v>233</v>
      </c>
      <c r="AT128" s="122" t="s">
        <v>233</v>
      </c>
      <c r="AU128" s="122" t="s">
        <v>233</v>
      </c>
      <c r="AV128" s="122" t="s">
        <v>233</v>
      </c>
      <c r="AW128" s="122" t="s">
        <v>233</v>
      </c>
      <c r="AX128" s="122" t="s">
        <v>233</v>
      </c>
      <c r="AY128" s="122" t="s">
        <v>232</v>
      </c>
      <c r="AZ128" s="122" t="s">
        <v>233</v>
      </c>
      <c r="BA128" s="122" t="s">
        <v>233</v>
      </c>
      <c r="BF128" s="122" t="s">
        <v>232</v>
      </c>
      <c r="BI128" s="122" t="s">
        <v>232</v>
      </c>
      <c r="BL128" s="122" t="s">
        <v>234</v>
      </c>
      <c r="BM128" s="122" t="s">
        <v>234</v>
      </c>
      <c r="BN128" s="122" t="s">
        <v>234</v>
      </c>
      <c r="BO128" s="122" t="s">
        <v>234</v>
      </c>
    </row>
    <row r="129">
      <c r="A129" s="127">
        <v>46070.0</v>
      </c>
      <c r="K129" s="122" t="s">
        <v>233</v>
      </c>
      <c r="L129" s="122" t="s">
        <v>233</v>
      </c>
      <c r="M129" s="122" t="s">
        <v>233</v>
      </c>
      <c r="N129" s="122" t="s">
        <v>233</v>
      </c>
      <c r="O129" s="122" t="s">
        <v>232</v>
      </c>
      <c r="W129" s="122" t="s">
        <v>233</v>
      </c>
      <c r="Y129" s="122" t="s">
        <v>232</v>
      </c>
      <c r="AA129" s="122" t="s">
        <v>232</v>
      </c>
      <c r="AB129" s="122" t="s">
        <v>232</v>
      </c>
      <c r="AG129" s="122" t="s">
        <v>233</v>
      </c>
      <c r="AI129" s="122" t="s">
        <v>233</v>
      </c>
      <c r="AJ129" s="122" t="s">
        <v>233</v>
      </c>
      <c r="AK129" s="122" t="s">
        <v>233</v>
      </c>
      <c r="AL129" s="122" t="s">
        <v>233</v>
      </c>
      <c r="AN129" s="122" t="s">
        <v>234</v>
      </c>
      <c r="AO129" s="122" t="s">
        <v>233</v>
      </c>
      <c r="AQ129" s="122" t="s">
        <v>234</v>
      </c>
      <c r="AR129" s="122" t="s">
        <v>234</v>
      </c>
      <c r="AS129" s="122" t="s">
        <v>234</v>
      </c>
      <c r="AT129" s="122" t="s">
        <v>233</v>
      </c>
      <c r="AU129" s="122" t="s">
        <v>233</v>
      </c>
      <c r="AV129" s="122" t="s">
        <v>233</v>
      </c>
      <c r="AW129" s="122" t="s">
        <v>233</v>
      </c>
      <c r="AX129" s="122" t="s">
        <v>233</v>
      </c>
      <c r="AY129" s="122" t="s">
        <v>233</v>
      </c>
      <c r="AZ129" s="122" t="s">
        <v>233</v>
      </c>
      <c r="BA129" s="122" t="s">
        <v>233</v>
      </c>
      <c r="BF129" s="122" t="s">
        <v>232</v>
      </c>
      <c r="BI129" s="122" t="s">
        <v>232</v>
      </c>
      <c r="BL129" s="122" t="s">
        <v>233</v>
      </c>
      <c r="BM129" s="122" t="s">
        <v>233</v>
      </c>
      <c r="BN129" s="122" t="s">
        <v>233</v>
      </c>
      <c r="BO129" s="122" t="s">
        <v>233</v>
      </c>
    </row>
    <row r="130">
      <c r="A130" s="127">
        <v>46071.0</v>
      </c>
      <c r="K130" s="122" t="s">
        <v>233</v>
      </c>
      <c r="L130" s="122" t="s">
        <v>233</v>
      </c>
      <c r="M130" s="122" t="s">
        <v>233</v>
      </c>
      <c r="N130" s="122" t="s">
        <v>233</v>
      </c>
      <c r="O130" s="122" t="s">
        <v>232</v>
      </c>
      <c r="P130" s="122" t="s">
        <v>233</v>
      </c>
      <c r="Q130" s="122" t="s">
        <v>233</v>
      </c>
      <c r="R130" s="122" t="s">
        <v>233</v>
      </c>
      <c r="W130" s="122" t="s">
        <v>233</v>
      </c>
      <c r="Y130" s="122" t="s">
        <v>232</v>
      </c>
      <c r="AA130" s="122" t="s">
        <v>232</v>
      </c>
      <c r="AB130" s="122" t="s">
        <v>232</v>
      </c>
      <c r="AG130" s="122" t="s">
        <v>233</v>
      </c>
      <c r="AI130" s="122" t="s">
        <v>233</v>
      </c>
      <c r="AJ130" s="122" t="s">
        <v>233</v>
      </c>
      <c r="AK130" s="122" t="s">
        <v>233</v>
      </c>
      <c r="AL130" s="122" t="s">
        <v>233</v>
      </c>
      <c r="AN130" s="122" t="s">
        <v>233</v>
      </c>
      <c r="AO130" s="122" t="s">
        <v>233</v>
      </c>
      <c r="AQ130" s="122" t="s">
        <v>233</v>
      </c>
      <c r="AR130" s="122" t="s">
        <v>233</v>
      </c>
      <c r="AS130" s="122" t="s">
        <v>233</v>
      </c>
      <c r="AT130" s="122" t="s">
        <v>234</v>
      </c>
      <c r="AU130" s="122" t="s">
        <v>234</v>
      </c>
      <c r="AV130" s="122" t="s">
        <v>234</v>
      </c>
      <c r="AW130" s="122" t="s">
        <v>234</v>
      </c>
      <c r="AX130" s="122" t="s">
        <v>234</v>
      </c>
      <c r="AY130" s="122" t="s">
        <v>234</v>
      </c>
      <c r="AZ130" s="122" t="s">
        <v>234</v>
      </c>
      <c r="BA130" s="122" t="s">
        <v>234</v>
      </c>
      <c r="BB130" s="122" t="s">
        <v>233</v>
      </c>
      <c r="BC130" s="122" t="s">
        <v>233</v>
      </c>
      <c r="BD130" s="122" t="s">
        <v>233</v>
      </c>
      <c r="BE130" s="122" t="s">
        <v>233</v>
      </c>
      <c r="BF130" s="122" t="s">
        <v>232</v>
      </c>
      <c r="BI130" s="122" t="s">
        <v>232</v>
      </c>
      <c r="BL130" s="122" t="s">
        <v>233</v>
      </c>
      <c r="BM130" s="122" t="s">
        <v>233</v>
      </c>
      <c r="BN130" s="122" t="s">
        <v>233</v>
      </c>
      <c r="BO130" s="122" t="s">
        <v>233</v>
      </c>
    </row>
    <row r="131">
      <c r="A131" s="127">
        <v>46072.0</v>
      </c>
      <c r="O131" s="122" t="s">
        <v>232</v>
      </c>
      <c r="P131" s="122" t="s">
        <v>233</v>
      </c>
      <c r="Q131" s="122" t="s">
        <v>233</v>
      </c>
      <c r="R131" s="122" t="s">
        <v>233</v>
      </c>
      <c r="W131" s="122" t="s">
        <v>234</v>
      </c>
      <c r="AA131" s="122" t="s">
        <v>232</v>
      </c>
      <c r="AB131" s="122" t="s">
        <v>232</v>
      </c>
      <c r="AG131" s="122" t="s">
        <v>234</v>
      </c>
      <c r="AN131" s="122" t="s">
        <v>234</v>
      </c>
      <c r="AO131" s="122" t="s">
        <v>234</v>
      </c>
      <c r="AQ131" s="122" t="s">
        <v>233</v>
      </c>
      <c r="AR131" s="122" t="s">
        <v>233</v>
      </c>
      <c r="AS131" s="122" t="s">
        <v>233</v>
      </c>
      <c r="AT131" s="122" t="s">
        <v>233</v>
      </c>
      <c r="AU131" s="122" t="s">
        <v>233</v>
      </c>
      <c r="AV131" s="122" t="s">
        <v>232</v>
      </c>
      <c r="AW131" s="122" t="s">
        <v>233</v>
      </c>
      <c r="AX131" s="122" t="s">
        <v>233</v>
      </c>
      <c r="AY131" s="122" t="s">
        <v>233</v>
      </c>
      <c r="AZ131" s="122" t="s">
        <v>233</v>
      </c>
      <c r="BA131" s="122" t="s">
        <v>233</v>
      </c>
      <c r="BB131" s="122" t="s">
        <v>233</v>
      </c>
      <c r="BC131" s="122" t="s">
        <v>233</v>
      </c>
      <c r="BD131" s="122" t="s">
        <v>233</v>
      </c>
      <c r="BE131" s="122" t="s">
        <v>233</v>
      </c>
      <c r="BF131" s="122" t="s">
        <v>232</v>
      </c>
      <c r="BI131" s="122" t="s">
        <v>232</v>
      </c>
    </row>
    <row r="132">
      <c r="A132" s="127">
        <v>46073.0</v>
      </c>
      <c r="K132" s="122" t="s">
        <v>232</v>
      </c>
      <c r="O132" s="122" t="s">
        <v>232</v>
      </c>
      <c r="P132" s="122" t="s">
        <v>234</v>
      </c>
      <c r="Q132" s="122" t="s">
        <v>234</v>
      </c>
      <c r="R132" s="122" t="s">
        <v>234</v>
      </c>
      <c r="W132" s="122" t="s">
        <v>233</v>
      </c>
      <c r="AA132" s="122" t="s">
        <v>232</v>
      </c>
      <c r="AB132" s="122" t="s">
        <v>232</v>
      </c>
      <c r="AG132" s="122" t="s">
        <v>233</v>
      </c>
      <c r="AN132" s="122" t="s">
        <v>233</v>
      </c>
      <c r="AO132" s="122" t="s">
        <v>233</v>
      </c>
      <c r="AS132" s="122" t="s">
        <v>232</v>
      </c>
      <c r="AT132" s="122" t="s">
        <v>233</v>
      </c>
      <c r="AU132" s="122" t="s">
        <v>233</v>
      </c>
      <c r="AV132" s="122" t="s">
        <v>232</v>
      </c>
      <c r="AW132" s="122" t="s">
        <v>233</v>
      </c>
      <c r="AX132" s="122" t="s">
        <v>233</v>
      </c>
      <c r="AY132" s="122" t="s">
        <v>233</v>
      </c>
      <c r="AZ132" s="122" t="s">
        <v>233</v>
      </c>
      <c r="BA132" s="122" t="s">
        <v>233</v>
      </c>
      <c r="BB132" s="122" t="s">
        <v>234</v>
      </c>
      <c r="BC132" s="122" t="s">
        <v>234</v>
      </c>
      <c r="BD132" s="122" t="s">
        <v>234</v>
      </c>
      <c r="BE132" s="122" t="s">
        <v>234</v>
      </c>
      <c r="BF132" s="122" t="s">
        <v>232</v>
      </c>
      <c r="BI132" s="122" t="s">
        <v>232</v>
      </c>
    </row>
    <row r="133">
      <c r="A133" s="127">
        <v>46074.0</v>
      </c>
      <c r="C133" s="122" t="s">
        <v>232</v>
      </c>
      <c r="D133" s="122" t="s">
        <v>232</v>
      </c>
      <c r="E133" s="122" t="s">
        <v>232</v>
      </c>
      <c r="F133" s="122" t="s">
        <v>232</v>
      </c>
      <c r="K133" s="122" t="s">
        <v>232</v>
      </c>
      <c r="O133" s="122" t="s">
        <v>232</v>
      </c>
      <c r="P133" s="122" t="s">
        <v>233</v>
      </c>
      <c r="Q133" s="122" t="s">
        <v>233</v>
      </c>
      <c r="R133" s="122" t="s">
        <v>233</v>
      </c>
      <c r="W133" s="122" t="s">
        <v>233</v>
      </c>
      <c r="AA133" s="122" t="s">
        <v>232</v>
      </c>
      <c r="AB133" s="122" t="s">
        <v>232</v>
      </c>
      <c r="AE133" s="122" t="s">
        <v>232</v>
      </c>
      <c r="AG133" s="122" t="s">
        <v>233</v>
      </c>
      <c r="AJ133" s="122" t="s">
        <v>233</v>
      </c>
      <c r="AN133" s="122" t="s">
        <v>233</v>
      </c>
      <c r="AO133" s="122" t="s">
        <v>232</v>
      </c>
      <c r="AR133" s="122" t="s">
        <v>233</v>
      </c>
      <c r="AS133" s="122" t="s">
        <v>232</v>
      </c>
      <c r="AV133" s="122" t="s">
        <v>232</v>
      </c>
      <c r="BB133" s="122" t="s">
        <v>232</v>
      </c>
      <c r="BC133" s="122" t="s">
        <v>232</v>
      </c>
      <c r="BD133" s="122" t="s">
        <v>233</v>
      </c>
      <c r="BE133" s="122" t="s">
        <v>232</v>
      </c>
      <c r="BF133" s="122" t="s">
        <v>232</v>
      </c>
      <c r="BI133" s="122" t="s">
        <v>232</v>
      </c>
    </row>
    <row r="134">
      <c r="A134" s="127">
        <v>46075.0</v>
      </c>
      <c r="C134" s="122" t="s">
        <v>232</v>
      </c>
      <c r="D134" s="122" t="s">
        <v>232</v>
      </c>
      <c r="E134" s="122" t="s">
        <v>232</v>
      </c>
      <c r="F134" s="122" t="s">
        <v>232</v>
      </c>
      <c r="G134" s="122" t="s">
        <v>232</v>
      </c>
      <c r="K134" s="122" t="s">
        <v>232</v>
      </c>
      <c r="O134" s="122" t="s">
        <v>232</v>
      </c>
      <c r="P134" s="122" t="s">
        <v>233</v>
      </c>
      <c r="Q134" s="122" t="s">
        <v>233</v>
      </c>
      <c r="R134" s="122" t="s">
        <v>233</v>
      </c>
      <c r="AA134" s="122" t="s">
        <v>232</v>
      </c>
      <c r="AB134" s="122" t="s">
        <v>232</v>
      </c>
      <c r="AE134" s="122" t="s">
        <v>232</v>
      </c>
      <c r="AF134" s="122" t="s">
        <v>233</v>
      </c>
      <c r="AG134" s="122" t="s">
        <v>233</v>
      </c>
      <c r="AH134" s="122" t="s">
        <v>233</v>
      </c>
      <c r="AJ134" s="122" t="s">
        <v>233</v>
      </c>
      <c r="AO134" s="122" t="s">
        <v>232</v>
      </c>
      <c r="AR134" s="122" t="s">
        <v>233</v>
      </c>
      <c r="AS134" s="122" t="s">
        <v>232</v>
      </c>
      <c r="AV134" s="122" t="s">
        <v>232</v>
      </c>
      <c r="BB134" s="122" t="s">
        <v>233</v>
      </c>
      <c r="BC134" s="122" t="s">
        <v>233</v>
      </c>
      <c r="BD134" s="122" t="s">
        <v>233</v>
      </c>
      <c r="BE134" s="122" t="s">
        <v>233</v>
      </c>
      <c r="BF134" s="122" t="s">
        <v>232</v>
      </c>
      <c r="BG134" s="122" t="s">
        <v>232</v>
      </c>
      <c r="BI134" s="122" t="s">
        <v>232</v>
      </c>
    </row>
    <row r="135">
      <c r="A135" s="127">
        <v>46076.0</v>
      </c>
      <c r="O135" s="122" t="s">
        <v>232</v>
      </c>
      <c r="X135" s="122" t="s">
        <v>233</v>
      </c>
      <c r="Y135" s="122" t="s">
        <v>233</v>
      </c>
      <c r="AA135" s="122" t="s">
        <v>232</v>
      </c>
      <c r="AB135" s="122" t="s">
        <v>232</v>
      </c>
      <c r="AC135" s="122" t="s">
        <v>233</v>
      </c>
      <c r="AD135" s="122" t="s">
        <v>232</v>
      </c>
      <c r="AE135" s="122" t="s">
        <v>233</v>
      </c>
      <c r="AF135" s="122" t="s">
        <v>233</v>
      </c>
      <c r="AG135" s="122" t="s">
        <v>233</v>
      </c>
      <c r="AH135" s="122" t="s">
        <v>233</v>
      </c>
      <c r="AJ135" s="122" t="s">
        <v>234</v>
      </c>
      <c r="AM135" s="122" t="s">
        <v>233</v>
      </c>
      <c r="AR135" s="122" t="s">
        <v>234</v>
      </c>
      <c r="AV135" s="122" t="s">
        <v>232</v>
      </c>
      <c r="AY135" s="122" t="s">
        <v>232</v>
      </c>
      <c r="BF135" s="122" t="s">
        <v>234</v>
      </c>
      <c r="BI135" s="122" t="s">
        <v>232</v>
      </c>
      <c r="BL135" s="122" t="s">
        <v>232</v>
      </c>
    </row>
    <row r="136">
      <c r="A136" s="127">
        <v>46077.0</v>
      </c>
      <c r="G136" s="122" t="s">
        <v>233</v>
      </c>
      <c r="H136" s="122" t="s">
        <v>233</v>
      </c>
      <c r="I136" s="122" t="s">
        <v>233</v>
      </c>
      <c r="J136" s="122" t="s">
        <v>233</v>
      </c>
      <c r="O136" s="122" t="s">
        <v>232</v>
      </c>
      <c r="X136" s="122" t="s">
        <v>233</v>
      </c>
      <c r="Y136" s="122" t="s">
        <v>233</v>
      </c>
      <c r="Z136" s="122" t="s">
        <v>233</v>
      </c>
      <c r="AA136" s="122" t="s">
        <v>232</v>
      </c>
      <c r="AB136" s="122" t="s">
        <v>232</v>
      </c>
      <c r="AC136" s="122" t="s">
        <v>233</v>
      </c>
      <c r="AD136" s="122" t="s">
        <v>233</v>
      </c>
      <c r="AE136" s="122" t="s">
        <v>234</v>
      </c>
      <c r="AF136" s="122" t="s">
        <v>234</v>
      </c>
      <c r="AG136" s="122" t="s">
        <v>234</v>
      </c>
      <c r="AH136" s="122" t="s">
        <v>234</v>
      </c>
      <c r="AJ136" s="122" t="s">
        <v>233</v>
      </c>
      <c r="AM136" s="122" t="s">
        <v>233</v>
      </c>
      <c r="AP136" s="122" t="s">
        <v>233</v>
      </c>
      <c r="AQ136" s="122" t="s">
        <v>233</v>
      </c>
      <c r="AR136" s="122" t="s">
        <v>233</v>
      </c>
      <c r="AV136" s="122" t="s">
        <v>232</v>
      </c>
      <c r="BF136" s="122" t="s">
        <v>233</v>
      </c>
      <c r="BG136" s="122" t="s">
        <v>233</v>
      </c>
      <c r="BH136" s="122" t="s">
        <v>233</v>
      </c>
      <c r="BI136" s="122" t="s">
        <v>232</v>
      </c>
    </row>
    <row r="137">
      <c r="A137" s="127">
        <v>46078.0</v>
      </c>
      <c r="G137" s="122" t="s">
        <v>233</v>
      </c>
      <c r="H137" s="122" t="s">
        <v>233</v>
      </c>
      <c r="I137" s="122" t="s">
        <v>233</v>
      </c>
      <c r="J137" s="122" t="s">
        <v>233</v>
      </c>
      <c r="R137" s="122" t="s">
        <v>232</v>
      </c>
      <c r="X137" s="122" t="s">
        <v>234</v>
      </c>
      <c r="Y137" s="122" t="s">
        <v>234</v>
      </c>
      <c r="Z137" s="122" t="s">
        <v>233</v>
      </c>
      <c r="AA137" s="122" t="s">
        <v>232</v>
      </c>
      <c r="AB137" s="122" t="s">
        <v>232</v>
      </c>
      <c r="AC137" s="122" t="s">
        <v>234</v>
      </c>
      <c r="AD137" s="122" t="s">
        <v>233</v>
      </c>
      <c r="AE137" s="122" t="s">
        <v>233</v>
      </c>
      <c r="AF137" s="122" t="s">
        <v>233</v>
      </c>
      <c r="AG137" s="122" t="s">
        <v>233</v>
      </c>
      <c r="AH137" s="122" t="s">
        <v>233</v>
      </c>
      <c r="AJ137" s="122" t="s">
        <v>233</v>
      </c>
      <c r="AM137" s="122" t="s">
        <v>234</v>
      </c>
      <c r="AP137" s="122" t="s">
        <v>233</v>
      </c>
      <c r="AQ137" s="122" t="s">
        <v>233</v>
      </c>
      <c r="AR137" s="122" t="s">
        <v>233</v>
      </c>
      <c r="AV137" s="122" t="s">
        <v>232</v>
      </c>
      <c r="BF137" s="122" t="s">
        <v>233</v>
      </c>
      <c r="BG137" s="122" t="s">
        <v>233</v>
      </c>
      <c r="BH137" s="122" t="s">
        <v>233</v>
      </c>
      <c r="BI137" s="122" t="s">
        <v>232</v>
      </c>
    </row>
    <row r="138">
      <c r="A138" s="127">
        <v>46079.0</v>
      </c>
      <c r="G138" s="122" t="s">
        <v>234</v>
      </c>
      <c r="H138" s="122" t="s">
        <v>234</v>
      </c>
      <c r="I138" s="122" t="s">
        <v>234</v>
      </c>
      <c r="J138" s="122" t="s">
        <v>234</v>
      </c>
      <c r="R138" s="122" t="s">
        <v>232</v>
      </c>
      <c r="X138" s="122" t="s">
        <v>233</v>
      </c>
      <c r="Y138" s="122" t="s">
        <v>233</v>
      </c>
      <c r="Z138" s="122" t="s">
        <v>234</v>
      </c>
      <c r="AA138" s="122" t="s">
        <v>232</v>
      </c>
      <c r="AB138" s="122" t="s">
        <v>232</v>
      </c>
      <c r="AC138" s="122" t="s">
        <v>232</v>
      </c>
      <c r="AD138" s="122" t="s">
        <v>234</v>
      </c>
      <c r="AE138" s="122" t="s">
        <v>233</v>
      </c>
      <c r="AF138" s="122" t="s">
        <v>233</v>
      </c>
      <c r="AG138" s="122" t="s">
        <v>233</v>
      </c>
      <c r="AH138" s="122" t="s">
        <v>233</v>
      </c>
      <c r="AM138" s="122" t="s">
        <v>233</v>
      </c>
      <c r="AP138" s="122" t="s">
        <v>234</v>
      </c>
      <c r="AQ138" s="122" t="s">
        <v>234</v>
      </c>
      <c r="AV138" s="122" t="s">
        <v>232</v>
      </c>
      <c r="BF138" s="122" t="s">
        <v>234</v>
      </c>
      <c r="BG138" s="122" t="s">
        <v>234</v>
      </c>
      <c r="BH138" s="122" t="s">
        <v>234</v>
      </c>
      <c r="BI138" s="122" t="s">
        <v>232</v>
      </c>
      <c r="BJ138" s="122" t="s">
        <v>233</v>
      </c>
      <c r="BK138" s="122" t="s">
        <v>233</v>
      </c>
      <c r="BL138" s="122" t="s">
        <v>233</v>
      </c>
      <c r="BM138" s="122" t="s">
        <v>233</v>
      </c>
    </row>
    <row r="139">
      <c r="A139" s="127">
        <v>46080.0</v>
      </c>
      <c r="G139" s="122" t="s">
        <v>233</v>
      </c>
      <c r="H139" s="122" t="s">
        <v>233</v>
      </c>
      <c r="I139" s="122" t="s">
        <v>233</v>
      </c>
      <c r="J139" s="122" t="s">
        <v>233</v>
      </c>
      <c r="K139" s="122" t="s">
        <v>232</v>
      </c>
      <c r="O139" s="122" t="s">
        <v>232</v>
      </c>
      <c r="R139" s="122" t="s">
        <v>232</v>
      </c>
      <c r="X139" s="122" t="s">
        <v>233</v>
      </c>
      <c r="Y139" s="122" t="s">
        <v>232</v>
      </c>
      <c r="Z139" s="122" t="s">
        <v>233</v>
      </c>
      <c r="AA139" s="122" t="s">
        <v>232</v>
      </c>
      <c r="AB139" s="122" t="s">
        <v>232</v>
      </c>
      <c r="AC139" s="122" t="s">
        <v>232</v>
      </c>
      <c r="AD139" s="122" t="s">
        <v>233</v>
      </c>
      <c r="AM139" s="122" t="s">
        <v>233</v>
      </c>
      <c r="AP139" s="122" t="s">
        <v>233</v>
      </c>
      <c r="AQ139" s="122" t="s">
        <v>233</v>
      </c>
      <c r="AV139" s="122" t="s">
        <v>232</v>
      </c>
      <c r="BF139" s="122" t="s">
        <v>233</v>
      </c>
      <c r="BG139" s="122" t="s">
        <v>233</v>
      </c>
      <c r="BH139" s="122" t="s">
        <v>233</v>
      </c>
      <c r="BI139" s="122" t="s">
        <v>232</v>
      </c>
      <c r="BJ139" s="122" t="s">
        <v>233</v>
      </c>
      <c r="BK139" s="122" t="s">
        <v>233</v>
      </c>
      <c r="BL139" s="122" t="s">
        <v>233</v>
      </c>
      <c r="BM139" s="122" t="s">
        <v>233</v>
      </c>
    </row>
    <row r="140">
      <c r="A140" s="127">
        <v>46081.0</v>
      </c>
      <c r="C140" s="122" t="s">
        <v>232</v>
      </c>
      <c r="D140" s="122" t="s">
        <v>232</v>
      </c>
      <c r="E140" s="122" t="s">
        <v>232</v>
      </c>
      <c r="F140" s="122" t="s">
        <v>232</v>
      </c>
      <c r="G140" s="122" t="s">
        <v>233</v>
      </c>
      <c r="H140" s="122" t="s">
        <v>233</v>
      </c>
      <c r="I140" s="122" t="s">
        <v>233</v>
      </c>
      <c r="J140" s="122" t="s">
        <v>233</v>
      </c>
      <c r="K140" s="122" t="s">
        <v>232</v>
      </c>
      <c r="O140" s="122" t="s">
        <v>232</v>
      </c>
      <c r="R140" s="122" t="s">
        <v>232</v>
      </c>
      <c r="W140" s="122" t="s">
        <v>233</v>
      </c>
      <c r="Z140" s="122" t="s">
        <v>233</v>
      </c>
      <c r="AA140" s="122" t="s">
        <v>232</v>
      </c>
      <c r="AB140" s="122" t="s">
        <v>232</v>
      </c>
      <c r="AC140" s="122" t="s">
        <v>232</v>
      </c>
      <c r="AD140" s="122" t="s">
        <v>233</v>
      </c>
      <c r="AE140" s="122" t="s">
        <v>232</v>
      </c>
      <c r="AG140" s="122" t="s">
        <v>233</v>
      </c>
      <c r="AN140" s="122" t="s">
        <v>233</v>
      </c>
      <c r="AO140" s="122" t="s">
        <v>232</v>
      </c>
      <c r="AP140" s="122" t="s">
        <v>233</v>
      </c>
      <c r="AQ140" s="122" t="s">
        <v>233</v>
      </c>
      <c r="AS140" s="122" t="s">
        <v>232</v>
      </c>
      <c r="AT140" s="122" t="s">
        <v>233</v>
      </c>
      <c r="AU140" s="122" t="s">
        <v>233</v>
      </c>
      <c r="AV140" s="122" t="s">
        <v>232</v>
      </c>
      <c r="AW140" s="122" t="s">
        <v>233</v>
      </c>
      <c r="BF140" s="122" t="s">
        <v>233</v>
      </c>
      <c r="BG140" s="122" t="s">
        <v>233</v>
      </c>
      <c r="BH140" s="122" t="s">
        <v>233</v>
      </c>
      <c r="BI140" s="122" t="s">
        <v>232</v>
      </c>
      <c r="BJ140" s="122" t="s">
        <v>234</v>
      </c>
      <c r="BK140" s="122" t="s">
        <v>234</v>
      </c>
      <c r="BL140" s="122" t="s">
        <v>234</v>
      </c>
      <c r="BM140" s="122" t="s">
        <v>234</v>
      </c>
    </row>
    <row r="141">
      <c r="A141" s="127">
        <v>46082.0</v>
      </c>
      <c r="C141" s="122" t="s">
        <v>232</v>
      </c>
      <c r="D141" s="122" t="s">
        <v>232</v>
      </c>
      <c r="E141" s="122" t="s">
        <v>232</v>
      </c>
      <c r="F141" s="122" t="s">
        <v>232</v>
      </c>
      <c r="K141" s="122" t="s">
        <v>232</v>
      </c>
      <c r="R141" s="122" t="s">
        <v>232</v>
      </c>
      <c r="W141" s="122" t="s">
        <v>233</v>
      </c>
      <c r="Z141" s="122" t="s">
        <v>234</v>
      </c>
      <c r="AA141" s="122" t="s">
        <v>232</v>
      </c>
      <c r="AC141" s="122" t="s">
        <v>232</v>
      </c>
      <c r="AD141" s="122" t="s">
        <v>234</v>
      </c>
      <c r="AE141" s="122" t="s">
        <v>232</v>
      </c>
      <c r="AG141" s="122" t="s">
        <v>233</v>
      </c>
      <c r="AN141" s="122" t="s">
        <v>233</v>
      </c>
      <c r="AO141" s="122" t="s">
        <v>232</v>
      </c>
      <c r="AP141" s="122" t="s">
        <v>234</v>
      </c>
      <c r="AQ141" s="122" t="s">
        <v>234</v>
      </c>
      <c r="AS141" s="122" t="s">
        <v>232</v>
      </c>
      <c r="AT141" s="122" t="s">
        <v>233</v>
      </c>
      <c r="AU141" s="122" t="s">
        <v>233</v>
      </c>
      <c r="AV141" s="122" t="s">
        <v>233</v>
      </c>
      <c r="AW141" s="122" t="s">
        <v>233</v>
      </c>
      <c r="BF141" s="122" t="s">
        <v>233</v>
      </c>
      <c r="BG141" s="122" t="s">
        <v>232</v>
      </c>
      <c r="BH141" s="122" t="s">
        <v>233</v>
      </c>
      <c r="BI141" s="122" t="s">
        <v>232</v>
      </c>
      <c r="BJ141" s="122" t="s">
        <v>233</v>
      </c>
      <c r="BK141" s="122" t="s">
        <v>233</v>
      </c>
      <c r="BL141" s="122" t="s">
        <v>233</v>
      </c>
      <c r="BM141" s="122" t="s">
        <v>233</v>
      </c>
    </row>
    <row r="142">
      <c r="A142" s="127">
        <v>46083.0</v>
      </c>
      <c r="R142" s="122" t="s">
        <v>232</v>
      </c>
      <c r="W142" s="122" t="s">
        <v>234</v>
      </c>
      <c r="Z142" s="122" t="s">
        <v>233</v>
      </c>
      <c r="AA142" s="122" t="s">
        <v>232</v>
      </c>
      <c r="AD142" s="122" t="s">
        <v>232</v>
      </c>
      <c r="AG142" s="122" t="s">
        <v>234</v>
      </c>
      <c r="AJ142" s="122" t="s">
        <v>233</v>
      </c>
      <c r="AN142" s="122" t="s">
        <v>234</v>
      </c>
      <c r="AO142" s="122" t="s">
        <v>234</v>
      </c>
      <c r="AP142" s="122" t="s">
        <v>233</v>
      </c>
      <c r="AQ142" s="122" t="s">
        <v>233</v>
      </c>
      <c r="AR142" s="122" t="s">
        <v>233</v>
      </c>
      <c r="AT142" s="122" t="s">
        <v>234</v>
      </c>
      <c r="AU142" s="122" t="s">
        <v>234</v>
      </c>
      <c r="AV142" s="122" t="s">
        <v>234</v>
      </c>
      <c r="AW142" s="122" t="s">
        <v>234</v>
      </c>
      <c r="AY142" s="122" t="s">
        <v>232</v>
      </c>
      <c r="BF142" s="122" t="s">
        <v>233</v>
      </c>
      <c r="BG142" s="122" t="s">
        <v>233</v>
      </c>
      <c r="BH142" s="122" t="s">
        <v>233</v>
      </c>
      <c r="BI142" s="122" t="s">
        <v>232</v>
      </c>
      <c r="BJ142" s="122" t="s">
        <v>233</v>
      </c>
      <c r="BK142" s="122" t="s">
        <v>233</v>
      </c>
      <c r="BL142" s="122" t="s">
        <v>233</v>
      </c>
      <c r="BM142" s="122" t="s">
        <v>233</v>
      </c>
    </row>
    <row r="143">
      <c r="A143" s="127">
        <v>46084.0</v>
      </c>
      <c r="G143" s="122" t="s">
        <v>233</v>
      </c>
      <c r="H143" s="122" t="s">
        <v>233</v>
      </c>
      <c r="I143" s="122" t="s">
        <v>233</v>
      </c>
      <c r="K143" s="122" t="s">
        <v>233</v>
      </c>
      <c r="R143" s="122" t="s">
        <v>232</v>
      </c>
      <c r="S143" s="122" t="s">
        <v>233</v>
      </c>
      <c r="T143" s="122" t="s">
        <v>233</v>
      </c>
      <c r="U143" s="122" t="s">
        <v>233</v>
      </c>
      <c r="W143" s="122" t="s">
        <v>233</v>
      </c>
      <c r="Z143" s="122" t="s">
        <v>233</v>
      </c>
      <c r="AD143" s="122" t="s">
        <v>233</v>
      </c>
      <c r="AE143" s="122" t="s">
        <v>233</v>
      </c>
      <c r="AF143" s="122" t="s">
        <v>233</v>
      </c>
      <c r="AG143" s="122" t="s">
        <v>233</v>
      </c>
      <c r="AH143" s="122" t="s">
        <v>233</v>
      </c>
      <c r="AJ143" s="122" t="s">
        <v>233</v>
      </c>
      <c r="AN143" s="122" t="s">
        <v>233</v>
      </c>
      <c r="AO143" s="122" t="s">
        <v>233</v>
      </c>
      <c r="AP143" s="122" t="s">
        <v>233</v>
      </c>
      <c r="AQ143" s="122" t="s">
        <v>233</v>
      </c>
      <c r="AR143" s="122" t="s">
        <v>233</v>
      </c>
      <c r="AT143" s="122" t="s">
        <v>233</v>
      </c>
      <c r="AU143" s="122" t="s">
        <v>233</v>
      </c>
      <c r="AV143" s="122" t="s">
        <v>233</v>
      </c>
      <c r="AW143" s="122" t="s">
        <v>233</v>
      </c>
      <c r="BF143" s="122" t="s">
        <v>234</v>
      </c>
      <c r="BG143" s="122" t="s">
        <v>234</v>
      </c>
      <c r="BH143" s="122" t="s">
        <v>234</v>
      </c>
      <c r="BI143" s="122" t="s">
        <v>232</v>
      </c>
    </row>
    <row r="144">
      <c r="A144" s="127">
        <v>46085.0</v>
      </c>
      <c r="G144" s="122" t="s">
        <v>233</v>
      </c>
      <c r="H144" s="122" t="s">
        <v>233</v>
      </c>
      <c r="I144" s="122" t="s">
        <v>233</v>
      </c>
      <c r="K144" s="122" t="s">
        <v>233</v>
      </c>
      <c r="M144" s="122" t="s">
        <v>232</v>
      </c>
      <c r="R144" s="122" t="s">
        <v>232</v>
      </c>
      <c r="S144" s="122" t="s">
        <v>233</v>
      </c>
      <c r="T144" s="122" t="s">
        <v>233</v>
      </c>
      <c r="U144" s="122" t="s">
        <v>233</v>
      </c>
      <c r="W144" s="122" t="s">
        <v>233</v>
      </c>
      <c r="Z144" s="122" t="s">
        <v>233</v>
      </c>
      <c r="AD144" s="122" t="s">
        <v>233</v>
      </c>
      <c r="AE144" s="122" t="s">
        <v>233</v>
      </c>
      <c r="AF144" s="122" t="s">
        <v>233</v>
      </c>
      <c r="AG144" s="122" t="s">
        <v>233</v>
      </c>
      <c r="AH144" s="122" t="s">
        <v>233</v>
      </c>
      <c r="AJ144" s="122" t="s">
        <v>234</v>
      </c>
      <c r="AN144" s="122" t="s">
        <v>233</v>
      </c>
      <c r="AO144" s="122" t="s">
        <v>233</v>
      </c>
      <c r="AP144" s="122" t="s">
        <v>233</v>
      </c>
      <c r="AQ144" s="122" t="s">
        <v>233</v>
      </c>
      <c r="AR144" s="122" t="s">
        <v>234</v>
      </c>
      <c r="AS144" s="122" t="s">
        <v>233</v>
      </c>
      <c r="AT144" s="122" t="s">
        <v>233</v>
      </c>
      <c r="AU144" s="122" t="s">
        <v>233</v>
      </c>
      <c r="AV144" s="122" t="s">
        <v>234</v>
      </c>
      <c r="AW144" s="122" t="s">
        <v>233</v>
      </c>
      <c r="BF144" s="122" t="s">
        <v>234</v>
      </c>
      <c r="BG144" s="122" t="s">
        <v>233</v>
      </c>
      <c r="BH144" s="122" t="s">
        <v>233</v>
      </c>
      <c r="BI144" s="122" t="s">
        <v>232</v>
      </c>
    </row>
    <row r="145">
      <c r="A145" s="127">
        <v>46086.0</v>
      </c>
      <c r="G145" s="122" t="s">
        <v>234</v>
      </c>
      <c r="H145" s="122" t="s">
        <v>234</v>
      </c>
      <c r="I145" s="122" t="s">
        <v>234</v>
      </c>
      <c r="K145" s="122" t="s">
        <v>234</v>
      </c>
      <c r="M145" s="122" t="s">
        <v>232</v>
      </c>
      <c r="R145" s="122" t="s">
        <v>232</v>
      </c>
      <c r="S145" s="122" t="s">
        <v>234</v>
      </c>
      <c r="T145" s="122" t="s">
        <v>234</v>
      </c>
      <c r="U145" s="122" t="s">
        <v>234</v>
      </c>
      <c r="Z145" s="122" t="s">
        <v>234</v>
      </c>
      <c r="AD145" s="122" t="s">
        <v>234</v>
      </c>
      <c r="AE145" s="122" t="s">
        <v>234</v>
      </c>
      <c r="AF145" s="122" t="s">
        <v>234</v>
      </c>
      <c r="AG145" s="122" t="s">
        <v>234</v>
      </c>
      <c r="AH145" s="122" t="s">
        <v>234</v>
      </c>
      <c r="AJ145" s="122" t="s">
        <v>233</v>
      </c>
      <c r="AN145" s="122" t="s">
        <v>233</v>
      </c>
      <c r="AP145" s="122" t="s">
        <v>234</v>
      </c>
      <c r="AQ145" s="122" t="s">
        <v>234</v>
      </c>
      <c r="AR145" s="122" t="s">
        <v>233</v>
      </c>
      <c r="AS145" s="122" t="s">
        <v>233</v>
      </c>
      <c r="AV145" s="122" t="s">
        <v>233</v>
      </c>
      <c r="AY145" s="122" t="s">
        <v>232</v>
      </c>
      <c r="BF145" s="122" t="s">
        <v>233</v>
      </c>
      <c r="BG145" s="122" t="s">
        <v>233</v>
      </c>
      <c r="BH145" s="122" t="s">
        <v>233</v>
      </c>
      <c r="BI145" s="122" t="s">
        <v>232</v>
      </c>
    </row>
    <row r="146">
      <c r="A146" s="127">
        <v>46087.0</v>
      </c>
      <c r="G146" s="122" t="s">
        <v>233</v>
      </c>
      <c r="H146" s="122" t="s">
        <v>233</v>
      </c>
      <c r="I146" s="122" t="s">
        <v>233</v>
      </c>
      <c r="K146" s="122" t="s">
        <v>233</v>
      </c>
      <c r="M146" s="122" t="s">
        <v>232</v>
      </c>
      <c r="O146" s="122" t="s">
        <v>232</v>
      </c>
      <c r="R146" s="122" t="s">
        <v>232</v>
      </c>
      <c r="S146" s="122" t="s">
        <v>233</v>
      </c>
      <c r="T146" s="122" t="s">
        <v>233</v>
      </c>
      <c r="U146" s="122" t="s">
        <v>233</v>
      </c>
      <c r="W146" s="122" t="s">
        <v>233</v>
      </c>
      <c r="X146" s="122" t="s">
        <v>233</v>
      </c>
      <c r="Y146" s="122" t="s">
        <v>233</v>
      </c>
      <c r="Z146" s="122" t="s">
        <v>233</v>
      </c>
      <c r="AD146" s="122" t="s">
        <v>233</v>
      </c>
      <c r="AE146" s="122" t="s">
        <v>233</v>
      </c>
      <c r="AF146" s="122" t="s">
        <v>233</v>
      </c>
      <c r="AG146" s="122" t="s">
        <v>232</v>
      </c>
      <c r="AH146" s="122" t="s">
        <v>233</v>
      </c>
      <c r="AJ146" s="122" t="s">
        <v>233</v>
      </c>
      <c r="AN146" s="122" t="s">
        <v>234</v>
      </c>
      <c r="AP146" s="122" t="s">
        <v>232</v>
      </c>
      <c r="AQ146" s="122" t="s">
        <v>232</v>
      </c>
      <c r="AR146" s="122" t="s">
        <v>232</v>
      </c>
      <c r="AS146" s="122" t="s">
        <v>234</v>
      </c>
      <c r="AU146" s="122" t="s">
        <v>232</v>
      </c>
      <c r="AV146" s="122" t="s">
        <v>233</v>
      </c>
      <c r="AY146" s="122" t="s">
        <v>232</v>
      </c>
      <c r="BC146" s="122" t="s">
        <v>232</v>
      </c>
      <c r="BF146" s="122" t="s">
        <v>233</v>
      </c>
      <c r="BG146" s="122" t="s">
        <v>232</v>
      </c>
      <c r="BI146" s="122" t="s">
        <v>232</v>
      </c>
    </row>
    <row r="147">
      <c r="A147" s="127">
        <v>46088.0</v>
      </c>
      <c r="C147" s="122" t="s">
        <v>232</v>
      </c>
      <c r="D147" s="122" t="s">
        <v>232</v>
      </c>
      <c r="E147" s="122" t="s">
        <v>232</v>
      </c>
      <c r="F147" s="122" t="s">
        <v>232</v>
      </c>
      <c r="G147" s="122" t="s">
        <v>233</v>
      </c>
      <c r="H147" s="122" t="s">
        <v>233</v>
      </c>
      <c r="I147" s="122" t="s">
        <v>233</v>
      </c>
      <c r="K147" s="122" t="s">
        <v>233</v>
      </c>
      <c r="M147" s="122" t="s">
        <v>232</v>
      </c>
      <c r="O147" s="122" t="s">
        <v>232</v>
      </c>
      <c r="S147" s="122" t="s">
        <v>233</v>
      </c>
      <c r="T147" s="122" t="s">
        <v>233</v>
      </c>
      <c r="U147" s="122" t="s">
        <v>233</v>
      </c>
      <c r="W147" s="122" t="s">
        <v>233</v>
      </c>
      <c r="X147" s="122" t="s">
        <v>233</v>
      </c>
      <c r="Y147" s="122" t="s">
        <v>233</v>
      </c>
      <c r="Z147" s="122" t="s">
        <v>233</v>
      </c>
      <c r="AD147" s="122" t="s">
        <v>233</v>
      </c>
      <c r="AE147" s="122" t="s">
        <v>232</v>
      </c>
      <c r="AF147" s="122" t="s">
        <v>233</v>
      </c>
      <c r="AG147" s="122" t="s">
        <v>232</v>
      </c>
      <c r="AH147" s="122" t="s">
        <v>233</v>
      </c>
      <c r="AN147" s="122" t="s">
        <v>233</v>
      </c>
      <c r="AO147" s="122" t="s">
        <v>232</v>
      </c>
      <c r="AP147" s="122" t="s">
        <v>232</v>
      </c>
      <c r="AQ147" s="122" t="s">
        <v>232</v>
      </c>
      <c r="AR147" s="122" t="s">
        <v>232</v>
      </c>
      <c r="AS147" s="122" t="s">
        <v>233</v>
      </c>
      <c r="AU147" s="122" t="s">
        <v>232</v>
      </c>
      <c r="AY147" s="122" t="s">
        <v>232</v>
      </c>
      <c r="BC147" s="122" t="s">
        <v>232</v>
      </c>
      <c r="BG147" s="122" t="s">
        <v>232</v>
      </c>
      <c r="BI147" s="122" t="s">
        <v>232</v>
      </c>
      <c r="BJ147" s="122" t="s">
        <v>233</v>
      </c>
      <c r="BK147" s="122" t="s">
        <v>233</v>
      </c>
      <c r="BL147" s="122" t="s">
        <v>233</v>
      </c>
      <c r="BM147" s="122" t="s">
        <v>233</v>
      </c>
    </row>
    <row r="148">
      <c r="A148" s="127">
        <v>46089.0</v>
      </c>
      <c r="C148" s="122" t="s">
        <v>232</v>
      </c>
      <c r="D148" s="122" t="s">
        <v>232</v>
      </c>
      <c r="E148" s="122" t="s">
        <v>232</v>
      </c>
      <c r="F148" s="122" t="s">
        <v>232</v>
      </c>
      <c r="W148" s="122" t="s">
        <v>234</v>
      </c>
      <c r="X148" s="122" t="s">
        <v>234</v>
      </c>
      <c r="Y148" s="122" t="s">
        <v>234</v>
      </c>
      <c r="Z148" s="122" t="s">
        <v>234</v>
      </c>
      <c r="AE148" s="122" t="s">
        <v>232</v>
      </c>
      <c r="AG148" s="122" t="s">
        <v>232</v>
      </c>
      <c r="AN148" s="122" t="s">
        <v>233</v>
      </c>
      <c r="AO148" s="122" t="s">
        <v>232</v>
      </c>
      <c r="AP148" s="122" t="s">
        <v>232</v>
      </c>
      <c r="AQ148" s="122" t="s">
        <v>232</v>
      </c>
      <c r="AR148" s="122" t="s">
        <v>232</v>
      </c>
      <c r="AS148" s="122" t="s">
        <v>233</v>
      </c>
      <c r="AU148" s="122" t="s">
        <v>232</v>
      </c>
      <c r="AY148" s="122" t="s">
        <v>232</v>
      </c>
      <c r="BC148" s="122" t="s">
        <v>232</v>
      </c>
      <c r="BG148" s="122" t="s">
        <v>232</v>
      </c>
      <c r="BI148" s="122" t="s">
        <v>232</v>
      </c>
      <c r="BJ148" s="122" t="s">
        <v>233</v>
      </c>
      <c r="BK148" s="122" t="s">
        <v>233</v>
      </c>
      <c r="BL148" s="122" t="s">
        <v>233</v>
      </c>
      <c r="BM148" s="122" t="s">
        <v>233</v>
      </c>
    </row>
    <row r="149">
      <c r="A149" s="127">
        <v>46090.0</v>
      </c>
      <c r="C149" s="122" t="s">
        <v>234</v>
      </c>
      <c r="D149" s="122" t="s">
        <v>234</v>
      </c>
      <c r="E149" s="122" t="s">
        <v>234</v>
      </c>
      <c r="F149" s="122" t="s">
        <v>234</v>
      </c>
      <c r="W149" s="122" t="s">
        <v>233</v>
      </c>
      <c r="X149" s="122" t="s">
        <v>233</v>
      </c>
      <c r="Y149" s="122" t="s">
        <v>233</v>
      </c>
      <c r="Z149" s="122" t="s">
        <v>233</v>
      </c>
      <c r="AD149" s="122" t="s">
        <v>232</v>
      </c>
      <c r="AG149" s="122" t="s">
        <v>232</v>
      </c>
      <c r="AP149" s="122" t="s">
        <v>233</v>
      </c>
      <c r="AQ149" s="122" t="s">
        <v>233</v>
      </c>
      <c r="AR149" s="122" t="s">
        <v>232</v>
      </c>
      <c r="AU149" s="122" t="s">
        <v>232</v>
      </c>
      <c r="AY149" s="122" t="s">
        <v>232</v>
      </c>
      <c r="BB149" s="122" t="s">
        <v>233</v>
      </c>
      <c r="BC149" s="122" t="s">
        <v>232</v>
      </c>
      <c r="BD149" s="122" t="s">
        <v>233</v>
      </c>
      <c r="BE149" s="122" t="s">
        <v>233</v>
      </c>
      <c r="BI149" s="122" t="s">
        <v>232</v>
      </c>
      <c r="BJ149" s="122" t="s">
        <v>234</v>
      </c>
      <c r="BK149" s="122" t="s">
        <v>234</v>
      </c>
      <c r="BL149" s="122" t="s">
        <v>234</v>
      </c>
      <c r="BM149" s="122" t="s">
        <v>234</v>
      </c>
    </row>
    <row r="150">
      <c r="A150" s="127">
        <v>46091.0</v>
      </c>
      <c r="C150" s="122" t="s">
        <v>233</v>
      </c>
      <c r="D150" s="122" t="s">
        <v>233</v>
      </c>
      <c r="E150" s="122" t="s">
        <v>233</v>
      </c>
      <c r="F150" s="122" t="s">
        <v>233</v>
      </c>
      <c r="W150" s="122" t="s">
        <v>233</v>
      </c>
      <c r="X150" s="122" t="s">
        <v>233</v>
      </c>
      <c r="Y150" s="122" t="s">
        <v>233</v>
      </c>
      <c r="Z150" s="122" t="s">
        <v>233</v>
      </c>
      <c r="AA150" s="122" t="s">
        <v>233</v>
      </c>
      <c r="AB150" s="122" t="s">
        <v>233</v>
      </c>
      <c r="AC150" s="122" t="s">
        <v>233</v>
      </c>
      <c r="AD150" s="122" t="s">
        <v>233</v>
      </c>
      <c r="AG150" s="122" t="s">
        <v>233</v>
      </c>
      <c r="AN150" s="122" t="s">
        <v>233</v>
      </c>
      <c r="AO150" s="122" t="s">
        <v>233</v>
      </c>
      <c r="AP150" s="122" t="s">
        <v>233</v>
      </c>
      <c r="AQ150" s="122" t="s">
        <v>233</v>
      </c>
      <c r="AR150" s="122" t="s">
        <v>232</v>
      </c>
      <c r="BB150" s="122" t="s">
        <v>233</v>
      </c>
      <c r="BC150" s="122" t="s">
        <v>233</v>
      </c>
      <c r="BD150" s="122" t="s">
        <v>233</v>
      </c>
      <c r="BE150" s="122" t="s">
        <v>233</v>
      </c>
      <c r="BI150" s="122" t="s">
        <v>232</v>
      </c>
      <c r="BJ150" s="122" t="s">
        <v>233</v>
      </c>
      <c r="BK150" s="122" t="s">
        <v>233</v>
      </c>
      <c r="BL150" s="122" t="s">
        <v>233</v>
      </c>
      <c r="BM150" s="122" t="s">
        <v>233</v>
      </c>
    </row>
    <row r="151">
      <c r="A151" s="127">
        <v>46092.0</v>
      </c>
      <c r="C151" s="122" t="s">
        <v>233</v>
      </c>
      <c r="D151" s="122" t="s">
        <v>233</v>
      </c>
      <c r="E151" s="122" t="s">
        <v>233</v>
      </c>
      <c r="F151" s="122" t="s">
        <v>233</v>
      </c>
      <c r="H151" s="122" t="s">
        <v>232</v>
      </c>
      <c r="W151" s="122" t="s">
        <v>233</v>
      </c>
      <c r="Z151" s="122" t="s">
        <v>234</v>
      </c>
      <c r="AA151" s="122" t="s">
        <v>233</v>
      </c>
      <c r="AB151" s="122" t="s">
        <v>233</v>
      </c>
      <c r="AC151" s="122" t="s">
        <v>233</v>
      </c>
      <c r="AD151" s="122" t="s">
        <v>234</v>
      </c>
      <c r="AG151" s="122" t="s">
        <v>233</v>
      </c>
      <c r="AN151" s="122" t="s">
        <v>233</v>
      </c>
      <c r="AO151" s="122" t="s">
        <v>233</v>
      </c>
      <c r="AP151" s="122" t="s">
        <v>234</v>
      </c>
      <c r="AQ151" s="122" t="s">
        <v>234</v>
      </c>
      <c r="AR151" s="122" t="s">
        <v>232</v>
      </c>
      <c r="BB151" s="122" t="s">
        <v>234</v>
      </c>
      <c r="BC151" s="122" t="s">
        <v>234</v>
      </c>
      <c r="BD151" s="122" t="s">
        <v>234</v>
      </c>
      <c r="BE151" s="122" t="s">
        <v>234</v>
      </c>
      <c r="BI151" s="122" t="s">
        <v>232</v>
      </c>
      <c r="BJ151" s="122" t="s">
        <v>233</v>
      </c>
      <c r="BK151" s="122" t="s">
        <v>233</v>
      </c>
      <c r="BL151" s="122" t="s">
        <v>233</v>
      </c>
      <c r="BM151" s="122" t="s">
        <v>233</v>
      </c>
    </row>
    <row r="152">
      <c r="A152" s="127">
        <v>46093.0</v>
      </c>
      <c r="H152" s="122" t="s">
        <v>232</v>
      </c>
      <c r="W152" s="122" t="s">
        <v>234</v>
      </c>
      <c r="Z152" s="122" t="s">
        <v>233</v>
      </c>
      <c r="AA152" s="122" t="s">
        <v>234</v>
      </c>
      <c r="AB152" s="122" t="s">
        <v>234</v>
      </c>
      <c r="AC152" s="122" t="s">
        <v>234</v>
      </c>
      <c r="AD152" s="122" t="s">
        <v>234</v>
      </c>
      <c r="AG152" s="122" t="s">
        <v>234</v>
      </c>
      <c r="AN152" s="122" t="s">
        <v>234</v>
      </c>
      <c r="AO152" s="122" t="s">
        <v>234</v>
      </c>
      <c r="AP152" s="122" t="s">
        <v>233</v>
      </c>
      <c r="AQ152" s="122" t="s">
        <v>233</v>
      </c>
      <c r="AR152" s="122" t="s">
        <v>232</v>
      </c>
      <c r="BB152" s="122" t="s">
        <v>233</v>
      </c>
      <c r="BC152" s="122" t="s">
        <v>233</v>
      </c>
      <c r="BD152" s="122" t="s">
        <v>233</v>
      </c>
      <c r="BE152" s="122" t="s">
        <v>233</v>
      </c>
      <c r="BI152" s="122" t="s">
        <v>232</v>
      </c>
    </row>
    <row r="153">
      <c r="A153" s="127">
        <v>46094.0</v>
      </c>
      <c r="H153" s="122" t="s">
        <v>232</v>
      </c>
      <c r="O153" s="122" t="s">
        <v>232</v>
      </c>
      <c r="W153" s="122" t="s">
        <v>233</v>
      </c>
      <c r="Z153" s="122" t="s">
        <v>233</v>
      </c>
      <c r="AA153" s="122" t="s">
        <v>233</v>
      </c>
      <c r="AB153" s="122" t="s">
        <v>233</v>
      </c>
      <c r="AC153" s="122" t="s">
        <v>233</v>
      </c>
      <c r="AD153" s="122" t="s">
        <v>233</v>
      </c>
      <c r="AE153" s="122" t="s">
        <v>232</v>
      </c>
      <c r="AG153" s="122" t="s">
        <v>233</v>
      </c>
      <c r="AN153" s="122" t="s">
        <v>233</v>
      </c>
      <c r="AO153" s="122" t="s">
        <v>233</v>
      </c>
      <c r="AP153" s="122" t="s">
        <v>233</v>
      </c>
      <c r="AQ153" s="122" t="s">
        <v>233</v>
      </c>
      <c r="AR153" s="122" t="s">
        <v>232</v>
      </c>
      <c r="BB153" s="122" t="s">
        <v>233</v>
      </c>
      <c r="BC153" s="122" t="s">
        <v>233</v>
      </c>
      <c r="BD153" s="122" t="s">
        <v>233</v>
      </c>
      <c r="BE153" s="122" t="s">
        <v>233</v>
      </c>
      <c r="BI153" s="122" t="s">
        <v>232</v>
      </c>
    </row>
    <row r="154">
      <c r="A154" s="127">
        <v>46095.0</v>
      </c>
      <c r="C154" s="122" t="s">
        <v>232</v>
      </c>
      <c r="D154" s="122" t="s">
        <v>232</v>
      </c>
      <c r="E154" s="122" t="s">
        <v>232</v>
      </c>
      <c r="F154" s="122" t="s">
        <v>232</v>
      </c>
      <c r="N154" s="122" t="s">
        <v>233</v>
      </c>
      <c r="O154" s="122" t="s">
        <v>232</v>
      </c>
      <c r="V154" s="122" t="s">
        <v>233</v>
      </c>
      <c r="W154" s="122" t="s">
        <v>233</v>
      </c>
      <c r="AA154" s="122" t="s">
        <v>233</v>
      </c>
      <c r="AB154" s="122" t="s">
        <v>233</v>
      </c>
      <c r="AC154" s="122" t="s">
        <v>233</v>
      </c>
      <c r="AD154" s="122" t="s">
        <v>233</v>
      </c>
      <c r="AE154" s="122" t="s">
        <v>232</v>
      </c>
      <c r="AG154" s="122" t="s">
        <v>233</v>
      </c>
      <c r="AN154" s="122" t="s">
        <v>233</v>
      </c>
      <c r="AO154" s="122" t="s">
        <v>232</v>
      </c>
      <c r="AR154" s="122" t="s">
        <v>232</v>
      </c>
      <c r="BB154" s="122" t="s">
        <v>232</v>
      </c>
      <c r="BE154" s="122" t="s">
        <v>232</v>
      </c>
      <c r="BI154" s="122" t="s">
        <v>232</v>
      </c>
    </row>
    <row r="155">
      <c r="A155" s="127">
        <v>46096.0</v>
      </c>
      <c r="C155" s="122" t="s">
        <v>232</v>
      </c>
      <c r="D155" s="122" t="s">
        <v>232</v>
      </c>
      <c r="E155" s="122" t="s">
        <v>232</v>
      </c>
      <c r="F155" s="122" t="s">
        <v>232</v>
      </c>
      <c r="N155" s="122" t="s">
        <v>233</v>
      </c>
      <c r="O155" s="122" t="s">
        <v>232</v>
      </c>
      <c r="V155" s="122" t="s">
        <v>233</v>
      </c>
      <c r="Z155" s="122" t="s">
        <v>232</v>
      </c>
      <c r="AA155" s="122" t="s">
        <v>234</v>
      </c>
      <c r="AB155" s="122" t="s">
        <v>234</v>
      </c>
      <c r="AC155" s="122" t="s">
        <v>234</v>
      </c>
      <c r="AD155" s="122" t="s">
        <v>234</v>
      </c>
      <c r="AE155" s="122" t="s">
        <v>232</v>
      </c>
      <c r="AO155" s="122" t="s">
        <v>232</v>
      </c>
      <c r="AR155" s="122" t="s">
        <v>232</v>
      </c>
      <c r="BG155" s="122" t="s">
        <v>232</v>
      </c>
      <c r="BI155" s="122" t="s">
        <v>232</v>
      </c>
    </row>
    <row r="156">
      <c r="A156" s="127">
        <v>46097.0</v>
      </c>
      <c r="D156" s="122" t="s">
        <v>234</v>
      </c>
      <c r="E156" s="122" t="s">
        <v>234</v>
      </c>
      <c r="N156" s="122" t="s">
        <v>234</v>
      </c>
      <c r="O156" s="122" t="s">
        <v>232</v>
      </c>
      <c r="V156" s="122" t="s">
        <v>234</v>
      </c>
      <c r="Z156" s="122" t="s">
        <v>233</v>
      </c>
      <c r="AA156" s="122" t="s">
        <v>233</v>
      </c>
      <c r="AB156" s="122" t="s">
        <v>233</v>
      </c>
      <c r="AC156" s="122" t="s">
        <v>233</v>
      </c>
      <c r="AD156" s="122" t="s">
        <v>232</v>
      </c>
      <c r="AJ156" s="122" t="s">
        <v>233</v>
      </c>
      <c r="AP156" s="122" t="s">
        <v>233</v>
      </c>
      <c r="AQ156" s="122" t="s">
        <v>233</v>
      </c>
      <c r="AR156" s="122" t="s">
        <v>232</v>
      </c>
      <c r="AV156" s="122" t="s">
        <v>233</v>
      </c>
      <c r="AY156" s="122" t="s">
        <v>232</v>
      </c>
      <c r="BF156" s="122" t="s">
        <v>233</v>
      </c>
      <c r="BI156" s="122" t="s">
        <v>232</v>
      </c>
    </row>
    <row r="157">
      <c r="A157" s="127">
        <v>46098.0</v>
      </c>
      <c r="D157" s="122" t="s">
        <v>233</v>
      </c>
      <c r="E157" s="122" t="s">
        <v>233</v>
      </c>
      <c r="N157" s="122" t="s">
        <v>233</v>
      </c>
      <c r="O157" s="122" t="s">
        <v>232</v>
      </c>
      <c r="V157" s="122" t="s">
        <v>233</v>
      </c>
      <c r="X157" s="122" t="s">
        <v>233</v>
      </c>
      <c r="Y157" s="122" t="s">
        <v>233</v>
      </c>
      <c r="Z157" s="122" t="s">
        <v>233</v>
      </c>
      <c r="AA157" s="122" t="s">
        <v>233</v>
      </c>
      <c r="AB157" s="122" t="s">
        <v>233</v>
      </c>
      <c r="AC157" s="122" t="s">
        <v>233</v>
      </c>
      <c r="AD157" s="122" t="s">
        <v>233</v>
      </c>
      <c r="AJ157" s="122" t="s">
        <v>233</v>
      </c>
      <c r="AM157" s="122" t="s">
        <v>233</v>
      </c>
      <c r="AP157" s="122" t="s">
        <v>233</v>
      </c>
      <c r="AQ157" s="122" t="s">
        <v>233</v>
      </c>
      <c r="AR157" s="122" t="s">
        <v>232</v>
      </c>
      <c r="AV157" s="122" t="s">
        <v>233</v>
      </c>
      <c r="BF157" s="122" t="s">
        <v>233</v>
      </c>
      <c r="BI157" s="122" t="s">
        <v>232</v>
      </c>
    </row>
    <row r="158">
      <c r="A158" s="127">
        <v>46099.0</v>
      </c>
      <c r="D158" s="122" t="s">
        <v>233</v>
      </c>
      <c r="E158" s="122" t="s">
        <v>233</v>
      </c>
      <c r="N158" s="122" t="s">
        <v>233</v>
      </c>
      <c r="O158" s="122" t="s">
        <v>232</v>
      </c>
      <c r="V158" s="122" t="s">
        <v>233</v>
      </c>
      <c r="W158" s="122" t="s">
        <v>233</v>
      </c>
      <c r="X158" s="122" t="s">
        <v>233</v>
      </c>
      <c r="Y158" s="122" t="s">
        <v>233</v>
      </c>
      <c r="Z158" s="122" t="s">
        <v>234</v>
      </c>
      <c r="AC158" s="122" t="s">
        <v>233</v>
      </c>
      <c r="AD158" s="122" t="s">
        <v>234</v>
      </c>
      <c r="AG158" s="122" t="s">
        <v>233</v>
      </c>
      <c r="AJ158" s="122" t="s">
        <v>234</v>
      </c>
      <c r="AM158" s="122" t="s">
        <v>233</v>
      </c>
      <c r="AN158" s="122" t="s">
        <v>233</v>
      </c>
      <c r="AO158" s="122" t="s">
        <v>233</v>
      </c>
      <c r="AP158" s="122" t="s">
        <v>234</v>
      </c>
      <c r="AQ158" s="122" t="s">
        <v>234</v>
      </c>
      <c r="AR158" s="122" t="s">
        <v>232</v>
      </c>
      <c r="AV158" s="122" t="s">
        <v>234</v>
      </c>
      <c r="BF158" s="122" t="s">
        <v>234</v>
      </c>
      <c r="BI158" s="122" t="s">
        <v>232</v>
      </c>
    </row>
    <row r="159">
      <c r="A159" s="127">
        <v>46100.0</v>
      </c>
      <c r="D159" s="122" t="s">
        <v>233</v>
      </c>
      <c r="E159" s="122" t="s">
        <v>233</v>
      </c>
      <c r="N159" s="122" t="s">
        <v>233</v>
      </c>
      <c r="O159" s="122" t="s">
        <v>232</v>
      </c>
      <c r="V159" s="122" t="s">
        <v>233</v>
      </c>
      <c r="W159" s="122" t="s">
        <v>233</v>
      </c>
      <c r="X159" s="122" t="s">
        <v>234</v>
      </c>
      <c r="Y159" s="122" t="s">
        <v>234</v>
      </c>
      <c r="Z159" s="122" t="s">
        <v>233</v>
      </c>
      <c r="AC159" s="122" t="s">
        <v>234</v>
      </c>
      <c r="AD159" s="122" t="s">
        <v>233</v>
      </c>
      <c r="AG159" s="122" t="s">
        <v>233</v>
      </c>
      <c r="AJ159" s="122" t="s">
        <v>233</v>
      </c>
      <c r="AM159" s="122" t="s">
        <v>234</v>
      </c>
      <c r="AN159" s="122" t="s">
        <v>233</v>
      </c>
      <c r="AO159" s="122" t="s">
        <v>233</v>
      </c>
      <c r="AP159" s="122" t="s">
        <v>233</v>
      </c>
      <c r="AQ159" s="122" t="s">
        <v>233</v>
      </c>
      <c r="AR159" s="122" t="s">
        <v>232</v>
      </c>
      <c r="AV159" s="122" t="s">
        <v>233</v>
      </c>
      <c r="BF159" s="122" t="s">
        <v>233</v>
      </c>
      <c r="BI159" s="122" t="s">
        <v>232</v>
      </c>
      <c r="BN159" s="122" t="s">
        <v>232</v>
      </c>
    </row>
    <row r="160">
      <c r="A160" s="127">
        <v>46101.0</v>
      </c>
      <c r="D160" s="122" t="s">
        <v>234</v>
      </c>
      <c r="E160" s="122" t="s">
        <v>234</v>
      </c>
      <c r="N160" s="122" t="s">
        <v>234</v>
      </c>
      <c r="O160" s="122" t="s">
        <v>232</v>
      </c>
      <c r="V160" s="122" t="s">
        <v>234</v>
      </c>
      <c r="W160" s="122" t="s">
        <v>234</v>
      </c>
      <c r="X160" s="122" t="s">
        <v>233</v>
      </c>
      <c r="Y160" s="122" t="s">
        <v>233</v>
      </c>
      <c r="Z160" s="122" t="s">
        <v>233</v>
      </c>
      <c r="AC160" s="122" t="s">
        <v>233</v>
      </c>
      <c r="AD160" s="122" t="s">
        <v>232</v>
      </c>
      <c r="AG160" s="122" t="s">
        <v>234</v>
      </c>
      <c r="AJ160" s="122" t="s">
        <v>233</v>
      </c>
      <c r="AM160" s="122" t="s">
        <v>233</v>
      </c>
      <c r="AN160" s="122" t="s">
        <v>234</v>
      </c>
      <c r="AO160" s="122" t="s">
        <v>234</v>
      </c>
      <c r="AP160" s="122" t="s">
        <v>233</v>
      </c>
      <c r="AQ160" s="122" t="s">
        <v>233</v>
      </c>
      <c r="AR160" s="122" t="s">
        <v>232</v>
      </c>
      <c r="AS160" s="122" t="s">
        <v>232</v>
      </c>
      <c r="AV160" s="122" t="s">
        <v>233</v>
      </c>
      <c r="BF160" s="122" t="s">
        <v>233</v>
      </c>
      <c r="BG160" s="122" t="s">
        <v>232</v>
      </c>
      <c r="BI160" s="122" t="s">
        <v>232</v>
      </c>
    </row>
    <row r="161">
      <c r="A161" s="127">
        <v>46102.0</v>
      </c>
      <c r="C161" s="122" t="s">
        <v>232</v>
      </c>
      <c r="D161" s="122" t="s">
        <v>232</v>
      </c>
      <c r="E161" s="122" t="s">
        <v>232</v>
      </c>
      <c r="F161" s="122" t="s">
        <v>232</v>
      </c>
      <c r="N161" s="122" t="s">
        <v>233</v>
      </c>
      <c r="O161" s="122" t="s">
        <v>232</v>
      </c>
      <c r="V161" s="122" t="s">
        <v>233</v>
      </c>
      <c r="W161" s="122" t="s">
        <v>233</v>
      </c>
      <c r="X161" s="122" t="s">
        <v>233</v>
      </c>
      <c r="Y161" s="122" t="s">
        <v>233</v>
      </c>
      <c r="Z161" s="122" t="s">
        <v>233</v>
      </c>
      <c r="AC161" s="122" t="s">
        <v>233</v>
      </c>
      <c r="AD161" s="122" t="s">
        <v>232</v>
      </c>
      <c r="AE161" s="122" t="s">
        <v>232</v>
      </c>
      <c r="AG161" s="122" t="s">
        <v>233</v>
      </c>
      <c r="AJ161" s="122" t="s">
        <v>233</v>
      </c>
      <c r="AM161" s="122" t="s">
        <v>232</v>
      </c>
      <c r="AN161" s="122" t="s">
        <v>233</v>
      </c>
      <c r="AO161" s="122" t="s">
        <v>232</v>
      </c>
      <c r="AR161" s="122" t="s">
        <v>232</v>
      </c>
      <c r="AS161" s="122" t="s">
        <v>232</v>
      </c>
      <c r="AV161" s="122" t="s">
        <v>233</v>
      </c>
      <c r="BC161" s="122" t="s">
        <v>232</v>
      </c>
      <c r="BF161" s="122" t="s">
        <v>233</v>
      </c>
      <c r="BG161" s="122" t="s">
        <v>232</v>
      </c>
      <c r="BI161" s="122" t="s">
        <v>232</v>
      </c>
    </row>
    <row r="162">
      <c r="A162" s="127">
        <v>46103.0</v>
      </c>
      <c r="C162" s="122" t="s">
        <v>232</v>
      </c>
      <c r="D162" s="122" t="s">
        <v>232</v>
      </c>
      <c r="E162" s="122" t="s">
        <v>232</v>
      </c>
      <c r="F162" s="122" t="s">
        <v>232</v>
      </c>
      <c r="N162" s="122" t="s">
        <v>233</v>
      </c>
      <c r="O162" s="122" t="s">
        <v>232</v>
      </c>
      <c r="V162" s="122" t="s">
        <v>233</v>
      </c>
      <c r="W162" s="122" t="s">
        <v>233</v>
      </c>
      <c r="X162" s="122" t="s">
        <v>233</v>
      </c>
      <c r="Y162" s="122" t="s">
        <v>233</v>
      </c>
      <c r="Z162" s="122" t="s">
        <v>233</v>
      </c>
      <c r="AD162" s="122" t="s">
        <v>232</v>
      </c>
      <c r="AE162" s="122" t="s">
        <v>232</v>
      </c>
      <c r="AF162" s="122" t="s">
        <v>233</v>
      </c>
      <c r="AG162" s="122" t="s">
        <v>233</v>
      </c>
      <c r="AH162" s="122" t="s">
        <v>233</v>
      </c>
      <c r="AJ162" s="122" t="s">
        <v>233</v>
      </c>
      <c r="AM162" s="122" t="s">
        <v>232</v>
      </c>
      <c r="AN162" s="122" t="s">
        <v>233</v>
      </c>
      <c r="AO162" s="122" t="s">
        <v>232</v>
      </c>
      <c r="AR162" s="122" t="s">
        <v>232</v>
      </c>
      <c r="AS162" s="122" t="s">
        <v>232</v>
      </c>
      <c r="AV162" s="122" t="s">
        <v>233</v>
      </c>
      <c r="BF162" s="122" t="s">
        <v>233</v>
      </c>
      <c r="BG162" s="122" t="s">
        <v>232</v>
      </c>
      <c r="BI162" s="122" t="s">
        <v>232</v>
      </c>
    </row>
    <row r="163">
      <c r="A163" s="127">
        <v>46104.0</v>
      </c>
      <c r="O163" s="122" t="s">
        <v>232</v>
      </c>
      <c r="W163" s="122" t="s">
        <v>234</v>
      </c>
      <c r="X163" s="122" t="s">
        <v>234</v>
      </c>
      <c r="Y163" s="122" t="s">
        <v>234</v>
      </c>
      <c r="Z163" s="122" t="s">
        <v>234</v>
      </c>
      <c r="AD163" s="122" t="s">
        <v>232</v>
      </c>
      <c r="AE163" s="122" t="s">
        <v>233</v>
      </c>
      <c r="AF163" s="122" t="s">
        <v>233</v>
      </c>
      <c r="AG163" s="122" t="s">
        <v>233</v>
      </c>
      <c r="AH163" s="122" t="s">
        <v>233</v>
      </c>
      <c r="AJ163" s="122" t="s">
        <v>234</v>
      </c>
      <c r="AR163" s="122" t="s">
        <v>234</v>
      </c>
      <c r="AV163" s="122" t="s">
        <v>234</v>
      </c>
      <c r="AY163" s="122" t="s">
        <v>232</v>
      </c>
      <c r="BF163" s="122" t="s">
        <v>234</v>
      </c>
      <c r="BG163" s="122" t="s">
        <v>232</v>
      </c>
      <c r="BI163" s="122" t="s">
        <v>232</v>
      </c>
    </row>
    <row r="164">
      <c r="A164" s="127">
        <v>46105.0</v>
      </c>
      <c r="C164" s="122" t="s">
        <v>233</v>
      </c>
      <c r="D164" s="122" t="s">
        <v>233</v>
      </c>
      <c r="E164" s="122" t="s">
        <v>233</v>
      </c>
      <c r="F164" s="122" t="s">
        <v>233</v>
      </c>
      <c r="O164" s="122" t="s">
        <v>232</v>
      </c>
      <c r="W164" s="122" t="s">
        <v>233</v>
      </c>
      <c r="X164" s="122" t="s">
        <v>233</v>
      </c>
      <c r="Y164" s="122" t="s">
        <v>233</v>
      </c>
      <c r="Z164" s="122" t="s">
        <v>233</v>
      </c>
      <c r="AA164" s="122" t="s">
        <v>233</v>
      </c>
      <c r="AB164" s="122" t="s">
        <v>233</v>
      </c>
      <c r="AC164" s="122" t="s">
        <v>233</v>
      </c>
      <c r="AD164" s="122" t="s">
        <v>233</v>
      </c>
      <c r="AE164" s="122" t="s">
        <v>234</v>
      </c>
      <c r="AF164" s="122" t="s">
        <v>234</v>
      </c>
      <c r="AG164" s="122" t="s">
        <v>234</v>
      </c>
      <c r="AH164" s="122" t="s">
        <v>234</v>
      </c>
      <c r="AJ164" s="122" t="s">
        <v>233</v>
      </c>
      <c r="AR164" s="122" t="s">
        <v>233</v>
      </c>
      <c r="AV164" s="122" t="s">
        <v>233</v>
      </c>
      <c r="BF164" s="122" t="s">
        <v>233</v>
      </c>
      <c r="BI164" s="122" t="s">
        <v>232</v>
      </c>
    </row>
    <row r="165">
      <c r="A165" s="127">
        <v>46106.0</v>
      </c>
      <c r="C165" s="122" t="s">
        <v>233</v>
      </c>
      <c r="D165" s="122" t="s">
        <v>233</v>
      </c>
      <c r="E165" s="122" t="s">
        <v>233</v>
      </c>
      <c r="F165" s="122" t="s">
        <v>233</v>
      </c>
      <c r="O165" s="122" t="s">
        <v>232</v>
      </c>
      <c r="W165" s="122" t="s">
        <v>233</v>
      </c>
      <c r="X165" s="122" t="s">
        <v>233</v>
      </c>
      <c r="Y165" s="122" t="s">
        <v>233</v>
      </c>
      <c r="Z165" s="122" t="s">
        <v>233</v>
      </c>
      <c r="AA165" s="122" t="s">
        <v>233</v>
      </c>
      <c r="AB165" s="122" t="s">
        <v>233</v>
      </c>
      <c r="AC165" s="122" t="s">
        <v>233</v>
      </c>
      <c r="AD165" s="122" t="s">
        <v>233</v>
      </c>
      <c r="AE165" s="122" t="s">
        <v>233</v>
      </c>
      <c r="AF165" s="122" t="s">
        <v>233</v>
      </c>
      <c r="AG165" s="122" t="s">
        <v>233</v>
      </c>
      <c r="AH165" s="122" t="s">
        <v>233</v>
      </c>
      <c r="AJ165" s="122" t="s">
        <v>233</v>
      </c>
      <c r="AR165" s="122" t="s">
        <v>233</v>
      </c>
      <c r="AV165" s="122" t="s">
        <v>233</v>
      </c>
      <c r="BF165" s="122" t="s">
        <v>233</v>
      </c>
      <c r="BI165" s="122" t="s">
        <v>232</v>
      </c>
    </row>
    <row r="166">
      <c r="A166" s="127">
        <v>46107.0</v>
      </c>
      <c r="C166" s="122" t="s">
        <v>234</v>
      </c>
      <c r="D166" s="122" t="s">
        <v>234</v>
      </c>
      <c r="E166" s="122" t="s">
        <v>234</v>
      </c>
      <c r="F166" s="122" t="s">
        <v>234</v>
      </c>
      <c r="O166" s="122" t="s">
        <v>232</v>
      </c>
      <c r="AA166" s="122" t="s">
        <v>234</v>
      </c>
      <c r="AB166" s="122" t="s">
        <v>234</v>
      </c>
      <c r="AC166" s="122" t="s">
        <v>234</v>
      </c>
      <c r="AD166" s="122" t="s">
        <v>234</v>
      </c>
      <c r="AE166" s="122" t="s">
        <v>233</v>
      </c>
      <c r="AF166" s="122" t="s">
        <v>233</v>
      </c>
      <c r="AG166" s="122" t="s">
        <v>233</v>
      </c>
      <c r="AH166" s="122" t="s">
        <v>233</v>
      </c>
      <c r="AJ166" s="122" t="s">
        <v>233</v>
      </c>
      <c r="AR166" s="122" t="s">
        <v>233</v>
      </c>
      <c r="AV166" s="122" t="s">
        <v>233</v>
      </c>
      <c r="BF166" s="122" t="s">
        <v>233</v>
      </c>
      <c r="BI166" s="122" t="s">
        <v>232</v>
      </c>
    </row>
    <row r="167">
      <c r="A167" s="127">
        <v>46108.0</v>
      </c>
      <c r="C167" s="122" t="s">
        <v>233</v>
      </c>
      <c r="D167" s="122" t="s">
        <v>233</v>
      </c>
      <c r="E167" s="122" t="s">
        <v>233</v>
      </c>
      <c r="F167" s="122" t="s">
        <v>233</v>
      </c>
      <c r="O167" s="122" t="s">
        <v>232</v>
      </c>
      <c r="U167" s="122" t="s">
        <v>232</v>
      </c>
      <c r="AA167" s="122" t="s">
        <v>233</v>
      </c>
      <c r="AB167" s="122" t="s">
        <v>233</v>
      </c>
      <c r="AC167" s="122" t="s">
        <v>233</v>
      </c>
      <c r="AD167" s="122" t="s">
        <v>233</v>
      </c>
      <c r="AJ167" s="122" t="s">
        <v>234</v>
      </c>
      <c r="AR167" s="122" t="s">
        <v>234</v>
      </c>
      <c r="AV167" s="122" t="s">
        <v>234</v>
      </c>
      <c r="BF167" s="122" t="s">
        <v>234</v>
      </c>
      <c r="BI167" s="122" t="s">
        <v>232</v>
      </c>
    </row>
    <row r="168">
      <c r="A168" s="127">
        <v>46109.0</v>
      </c>
      <c r="C168" s="122" t="s">
        <v>232</v>
      </c>
      <c r="D168" s="122" t="s">
        <v>232</v>
      </c>
      <c r="E168" s="122" t="s">
        <v>232</v>
      </c>
      <c r="F168" s="122" t="s">
        <v>232</v>
      </c>
      <c r="G168" s="122" t="s">
        <v>233</v>
      </c>
      <c r="K168" s="122" t="s">
        <v>233</v>
      </c>
      <c r="O168" s="122" t="s">
        <v>232</v>
      </c>
      <c r="S168" s="122" t="s">
        <v>233</v>
      </c>
      <c r="T168" s="122" t="s">
        <v>233</v>
      </c>
      <c r="AA168" s="122" t="s">
        <v>233</v>
      </c>
      <c r="AB168" s="122" t="s">
        <v>233</v>
      </c>
      <c r="AC168" s="122" t="s">
        <v>233</v>
      </c>
      <c r="AD168" s="122" t="s">
        <v>233</v>
      </c>
      <c r="AE168" s="122" t="s">
        <v>232</v>
      </c>
      <c r="AJ168" s="122" t="s">
        <v>233</v>
      </c>
      <c r="AO168" s="122" t="s">
        <v>232</v>
      </c>
      <c r="AR168" s="122" t="s">
        <v>233</v>
      </c>
      <c r="AV168" s="122" t="s">
        <v>233</v>
      </c>
      <c r="BF168" s="122" t="s">
        <v>233</v>
      </c>
      <c r="BI168" s="122" t="s">
        <v>232</v>
      </c>
    </row>
    <row r="169">
      <c r="A169" s="127">
        <v>46110.0</v>
      </c>
      <c r="C169" s="122" t="s">
        <v>232</v>
      </c>
      <c r="D169" s="122" t="s">
        <v>232</v>
      </c>
      <c r="E169" s="122" t="s">
        <v>232</v>
      </c>
      <c r="F169" s="122" t="s">
        <v>232</v>
      </c>
      <c r="G169" s="122" t="s">
        <v>233</v>
      </c>
      <c r="K169" s="122" t="s">
        <v>233</v>
      </c>
      <c r="O169" s="122" t="s">
        <v>232</v>
      </c>
      <c r="S169" s="122" t="s">
        <v>233</v>
      </c>
      <c r="T169" s="122" t="s">
        <v>233</v>
      </c>
      <c r="AE169" s="122" t="s">
        <v>232</v>
      </c>
      <c r="AJ169" s="122" t="s">
        <v>233</v>
      </c>
      <c r="AO169" s="122" t="s">
        <v>232</v>
      </c>
      <c r="AR169" s="122" t="s">
        <v>233</v>
      </c>
      <c r="AV169" s="122" t="s">
        <v>233</v>
      </c>
      <c r="BF169" s="122" t="s">
        <v>233</v>
      </c>
      <c r="BG169" s="122" t="s">
        <v>232</v>
      </c>
      <c r="BI169" s="122" t="s">
        <v>232</v>
      </c>
    </row>
    <row r="170">
      <c r="A170" s="127">
        <v>46111.0</v>
      </c>
      <c r="G170" s="122" t="s">
        <v>234</v>
      </c>
      <c r="K170" s="122" t="s">
        <v>234</v>
      </c>
      <c r="O170" s="122" t="s">
        <v>232</v>
      </c>
      <c r="S170" s="122" t="s">
        <v>234</v>
      </c>
      <c r="T170" s="122" t="s">
        <v>234</v>
      </c>
      <c r="AD170" s="122" t="s">
        <v>232</v>
      </c>
      <c r="AY170" s="122" t="s">
        <v>232</v>
      </c>
      <c r="BI170" s="122" t="s">
        <v>232</v>
      </c>
    </row>
    <row r="171">
      <c r="A171" s="127">
        <v>46112.0</v>
      </c>
      <c r="G171" s="122" t="s">
        <v>233</v>
      </c>
      <c r="K171" s="122" t="s">
        <v>233</v>
      </c>
      <c r="S171" s="122" t="s">
        <v>233</v>
      </c>
      <c r="T171" s="122" t="s">
        <v>233</v>
      </c>
      <c r="Z171" s="122" t="s">
        <v>232</v>
      </c>
      <c r="BI171" s="122" t="s">
        <v>232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3" width="12.63"/>
  </cols>
  <sheetData>
    <row r="1">
      <c r="A1" s="128" t="s">
        <v>236</v>
      </c>
      <c r="B1" s="128" t="s">
        <v>237</v>
      </c>
      <c r="C1" s="128" t="s">
        <v>238</v>
      </c>
      <c r="D1" s="128" t="s">
        <v>239</v>
      </c>
      <c r="E1" s="128" t="s">
        <v>240</v>
      </c>
      <c r="F1" s="128" t="s">
        <v>241</v>
      </c>
      <c r="G1" s="128" t="s">
        <v>242</v>
      </c>
      <c r="H1" s="128" t="s">
        <v>243</v>
      </c>
    </row>
    <row r="2">
      <c r="A2" s="122">
        <v>1.0</v>
      </c>
      <c r="B2" s="122" t="s">
        <v>37</v>
      </c>
      <c r="C2" s="122"/>
      <c r="D2" s="122" t="s">
        <v>167</v>
      </c>
      <c r="E2" s="122" t="s">
        <v>168</v>
      </c>
      <c r="F2" s="122" t="s">
        <v>169</v>
      </c>
      <c r="G2" s="122" t="s">
        <v>170</v>
      </c>
    </row>
    <row r="3">
      <c r="A3" s="122">
        <v>1.0</v>
      </c>
      <c r="B3" s="122" t="s">
        <v>46</v>
      </c>
      <c r="C3" s="122"/>
      <c r="D3" s="122" t="s">
        <v>171</v>
      </c>
      <c r="E3" s="122" t="s">
        <v>172</v>
      </c>
      <c r="F3" s="122" t="s">
        <v>173</v>
      </c>
      <c r="G3" s="122" t="s">
        <v>174</v>
      </c>
    </row>
    <row r="4">
      <c r="A4" s="122">
        <v>2.0</v>
      </c>
      <c r="B4" s="122" t="s">
        <v>54</v>
      </c>
      <c r="C4" s="122"/>
      <c r="D4" s="122" t="s">
        <v>187</v>
      </c>
      <c r="E4" s="122" t="s">
        <v>188</v>
      </c>
      <c r="F4" s="122" t="s">
        <v>189</v>
      </c>
      <c r="G4" s="122" t="s">
        <v>190</v>
      </c>
    </row>
    <row r="5">
      <c r="A5" s="122">
        <v>3.0</v>
      </c>
      <c r="B5" s="122" t="s">
        <v>61</v>
      </c>
      <c r="C5" s="122"/>
      <c r="D5" s="122" t="s">
        <v>207</v>
      </c>
      <c r="E5" s="122" t="s">
        <v>204</v>
      </c>
      <c r="F5" s="122" t="s">
        <v>208</v>
      </c>
      <c r="G5" s="122" t="s">
        <v>209</v>
      </c>
    </row>
    <row r="6">
      <c r="A6" s="122">
        <v>4.0</v>
      </c>
      <c r="B6" s="122" t="s">
        <v>70</v>
      </c>
      <c r="C6" s="122">
        <v>5.0</v>
      </c>
      <c r="D6" s="122" t="s">
        <v>223</v>
      </c>
      <c r="E6" s="122" t="s">
        <v>224</v>
      </c>
      <c r="F6" s="122" t="s">
        <v>222</v>
      </c>
      <c r="G6" s="122" t="s">
        <v>225</v>
      </c>
    </row>
    <row r="7">
      <c r="A7" s="122">
        <v>1.0</v>
      </c>
      <c r="B7" s="122" t="s">
        <v>79</v>
      </c>
      <c r="C7" s="122"/>
      <c r="D7" s="122" t="s">
        <v>175</v>
      </c>
      <c r="E7" s="122" t="s">
        <v>176</v>
      </c>
      <c r="F7" s="122" t="s">
        <v>177</v>
      </c>
      <c r="G7" s="122" t="s">
        <v>178</v>
      </c>
    </row>
    <row r="8">
      <c r="A8" s="122">
        <v>1.0</v>
      </c>
      <c r="B8" s="122" t="s">
        <v>80</v>
      </c>
      <c r="C8" s="122"/>
      <c r="D8" s="122" t="s">
        <v>179</v>
      </c>
      <c r="E8" s="122" t="s">
        <v>180</v>
      </c>
      <c r="F8" s="122" t="s">
        <v>181</v>
      </c>
      <c r="G8" s="122" t="s">
        <v>182</v>
      </c>
    </row>
    <row r="9">
      <c r="A9" s="122">
        <v>2.0</v>
      </c>
      <c r="B9" s="122" t="s">
        <v>81</v>
      </c>
      <c r="C9" s="122"/>
      <c r="D9" s="122" t="s">
        <v>191</v>
      </c>
      <c r="E9" s="122" t="s">
        <v>192</v>
      </c>
      <c r="F9" s="122" t="s">
        <v>193</v>
      </c>
      <c r="G9" s="122" t="s">
        <v>194</v>
      </c>
    </row>
    <row r="10">
      <c r="A10" s="122">
        <v>2.0</v>
      </c>
      <c r="B10" s="122" t="s">
        <v>87</v>
      </c>
      <c r="C10" s="122"/>
      <c r="D10" s="122" t="s">
        <v>244</v>
      </c>
      <c r="E10" s="122" t="s">
        <v>196</v>
      </c>
      <c r="F10" s="122" t="s">
        <v>197</v>
      </c>
      <c r="G10" s="122" t="s">
        <v>198</v>
      </c>
    </row>
    <row r="11">
      <c r="A11" s="122">
        <v>2.0</v>
      </c>
      <c r="B11" s="122" t="s">
        <v>89</v>
      </c>
      <c r="C11" s="122"/>
      <c r="D11" s="122" t="s">
        <v>199</v>
      </c>
      <c r="E11" s="122" t="s">
        <v>200</v>
      </c>
      <c r="F11" s="122" t="s">
        <v>201</v>
      </c>
      <c r="G11" s="122" t="s">
        <v>202</v>
      </c>
    </row>
    <row r="12">
      <c r="A12" s="122">
        <v>3.0</v>
      </c>
      <c r="B12" s="122" t="s">
        <v>91</v>
      </c>
      <c r="C12" s="122"/>
      <c r="D12" s="122" t="s">
        <v>210</v>
      </c>
      <c r="E12" s="122" t="s">
        <v>211</v>
      </c>
      <c r="F12" s="122" t="s">
        <v>212</v>
      </c>
      <c r="G12" s="122" t="s">
        <v>213</v>
      </c>
    </row>
    <row r="13">
      <c r="A13" s="122">
        <v>3.0</v>
      </c>
      <c r="B13" s="122" t="s">
        <v>95</v>
      </c>
      <c r="C13" s="122"/>
      <c r="D13" s="122" t="s">
        <v>214</v>
      </c>
      <c r="E13" s="122" t="s">
        <v>215</v>
      </c>
      <c r="F13" s="122" t="s">
        <v>216</v>
      </c>
      <c r="G13" s="122" t="s">
        <v>217</v>
      </c>
    </row>
    <row r="14">
      <c r="A14" s="122">
        <v>3.0</v>
      </c>
      <c r="B14" s="122" t="s">
        <v>100</v>
      </c>
      <c r="C14" s="122"/>
      <c r="D14" s="122" t="s">
        <v>218</v>
      </c>
      <c r="E14" s="122" t="s">
        <v>219</v>
      </c>
      <c r="F14" s="122" t="s">
        <v>220</v>
      </c>
      <c r="G14" s="122" t="s">
        <v>221</v>
      </c>
    </row>
    <row r="15">
      <c r="A15" s="122">
        <v>4.0</v>
      </c>
      <c r="B15" s="122" t="s">
        <v>103</v>
      </c>
      <c r="C15" s="122"/>
      <c r="D15" s="122" t="s">
        <v>226</v>
      </c>
      <c r="E15" s="122" t="s">
        <v>227</v>
      </c>
      <c r="F15" s="122" t="s">
        <v>228</v>
      </c>
      <c r="G15" s="122" t="s">
        <v>229</v>
      </c>
    </row>
    <row r="16">
      <c r="A16" s="122">
        <v>1.0</v>
      </c>
      <c r="B16" s="122" t="s">
        <v>108</v>
      </c>
      <c r="C16" s="122"/>
      <c r="D16" s="122" t="s">
        <v>183</v>
      </c>
      <c r="E16" s="122" t="s">
        <v>175</v>
      </c>
      <c r="F16" s="122" t="s">
        <v>184</v>
      </c>
      <c r="G16" s="122" t="s">
        <v>171</v>
      </c>
    </row>
    <row r="17">
      <c r="A17" s="122">
        <v>1.0</v>
      </c>
      <c r="B17" s="122" t="s">
        <v>113</v>
      </c>
      <c r="C17" s="122"/>
      <c r="D17" s="122" t="s">
        <v>185</v>
      </c>
      <c r="E17" s="122" t="s">
        <v>173</v>
      </c>
      <c r="F17" s="122" t="s">
        <v>172</v>
      </c>
      <c r="G17" s="122" t="s">
        <v>177</v>
      </c>
    </row>
    <row r="18">
      <c r="A18" s="122">
        <v>1.0</v>
      </c>
      <c r="B18" s="122" t="s">
        <v>110</v>
      </c>
      <c r="C18" s="122"/>
      <c r="D18" s="122" t="s">
        <v>168</v>
      </c>
      <c r="E18" s="122" t="s">
        <v>186</v>
      </c>
      <c r="F18" s="122" t="s">
        <v>178</v>
      </c>
      <c r="G18" s="122" t="s">
        <v>169</v>
      </c>
    </row>
    <row r="19">
      <c r="A19" s="122">
        <v>2.0</v>
      </c>
      <c r="B19" s="122" t="s">
        <v>119</v>
      </c>
      <c r="C19" s="122"/>
      <c r="D19" s="122" t="s">
        <v>203</v>
      </c>
      <c r="E19" s="122" t="s">
        <v>189</v>
      </c>
      <c r="F19" s="122" t="s">
        <v>188</v>
      </c>
      <c r="G19" s="122" t="s">
        <v>193</v>
      </c>
    </row>
    <row r="20">
      <c r="A20" s="122">
        <v>2.0</v>
      </c>
      <c r="B20" s="122" t="s">
        <v>120</v>
      </c>
      <c r="C20" s="122"/>
      <c r="D20" s="122" t="s">
        <v>197</v>
      </c>
      <c r="E20" s="122" t="s">
        <v>187</v>
      </c>
      <c r="F20" s="122" t="s">
        <v>204</v>
      </c>
      <c r="G20" s="122" t="s">
        <v>205</v>
      </c>
    </row>
    <row r="21">
      <c r="A21" s="122">
        <v>2.0</v>
      </c>
      <c r="B21" s="122" t="s">
        <v>123</v>
      </c>
      <c r="C21" s="122"/>
      <c r="D21" s="122" t="s">
        <v>206</v>
      </c>
      <c r="E21" s="122" t="s">
        <v>207</v>
      </c>
      <c r="F21" s="122" t="s">
        <v>190</v>
      </c>
      <c r="G21" s="122" t="s">
        <v>194</v>
      </c>
    </row>
    <row r="22">
      <c r="A22" s="122">
        <v>3.0</v>
      </c>
      <c r="B22" s="122" t="s">
        <v>124</v>
      </c>
      <c r="C22" s="122"/>
      <c r="D22" s="122" t="s">
        <v>200</v>
      </c>
      <c r="E22" s="122" t="s">
        <v>208</v>
      </c>
      <c r="F22" s="122" t="s">
        <v>222</v>
      </c>
      <c r="G22" s="122" t="s">
        <v>212</v>
      </c>
    </row>
    <row r="23">
      <c r="A23" s="122">
        <v>4.0</v>
      </c>
      <c r="B23" s="122" t="s">
        <v>127</v>
      </c>
      <c r="C23" s="122">
        <v>5.0</v>
      </c>
      <c r="D23" s="122" t="s">
        <v>230</v>
      </c>
      <c r="E23" s="122" t="s">
        <v>231</v>
      </c>
      <c r="F23" s="122" t="s">
        <v>228</v>
      </c>
      <c r="G23" s="122" t="s">
        <v>229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88"/>
    <col customWidth="1" min="3" max="3" width="14.13"/>
    <col customWidth="1" hidden="1" min="4" max="4" width="14.13"/>
    <col customWidth="1" min="5" max="5" width="22.0"/>
    <col customWidth="1" min="6" max="6" width="21.88"/>
    <col customWidth="1" min="7" max="7" width="22.5"/>
    <col customWidth="1" min="8" max="8" width="51.0"/>
  </cols>
  <sheetData>
    <row r="1">
      <c r="A1" s="129" t="s">
        <v>245</v>
      </c>
      <c r="B1" s="129" t="s">
        <v>246</v>
      </c>
      <c r="C1" s="129" t="s">
        <v>247</v>
      </c>
      <c r="D1" s="129" t="s">
        <v>248</v>
      </c>
      <c r="E1" s="130" t="s">
        <v>249</v>
      </c>
      <c r="F1" s="130" t="s">
        <v>250</v>
      </c>
      <c r="G1" s="130" t="s">
        <v>251</v>
      </c>
      <c r="H1" s="131" t="s">
        <v>252</v>
      </c>
    </row>
    <row r="2">
      <c r="A2" s="132" t="s">
        <v>52</v>
      </c>
      <c r="B2" s="132">
        <v>16.0</v>
      </c>
      <c r="C2" s="132">
        <v>3.0</v>
      </c>
      <c r="D2" s="132">
        <f t="shared" ref="D2:D35" si="1">SUM(B2:C2)</f>
        <v>19</v>
      </c>
      <c r="E2" s="133" t="s">
        <v>253</v>
      </c>
      <c r="F2" s="133" t="s">
        <v>254</v>
      </c>
      <c r="G2" s="133" t="s">
        <v>255</v>
      </c>
      <c r="H2" s="134"/>
    </row>
    <row r="3">
      <c r="A3" s="132" t="s">
        <v>39</v>
      </c>
      <c r="B3" s="132">
        <v>16.0</v>
      </c>
      <c r="C3" s="132">
        <v>2.0</v>
      </c>
      <c r="D3" s="132">
        <f t="shared" si="1"/>
        <v>18</v>
      </c>
      <c r="E3" s="133" t="s">
        <v>256</v>
      </c>
      <c r="F3" s="133" t="s">
        <v>257</v>
      </c>
      <c r="G3" s="133" t="s">
        <v>258</v>
      </c>
      <c r="H3" s="134"/>
    </row>
    <row r="4">
      <c r="A4" s="132" t="s">
        <v>55</v>
      </c>
      <c r="B4" s="132">
        <v>12.0</v>
      </c>
      <c r="C4" s="132">
        <v>0.0</v>
      </c>
      <c r="D4" s="132">
        <f t="shared" si="1"/>
        <v>12</v>
      </c>
      <c r="E4" s="133" t="s">
        <v>259</v>
      </c>
      <c r="F4" s="133" t="s">
        <v>260</v>
      </c>
      <c r="G4" s="133" t="s">
        <v>261</v>
      </c>
      <c r="H4" s="134"/>
    </row>
    <row r="5">
      <c r="A5" s="132" t="s">
        <v>58</v>
      </c>
      <c r="B5" s="132">
        <v>10.0</v>
      </c>
      <c r="C5" s="132">
        <v>2.0</v>
      </c>
      <c r="D5" s="132">
        <f t="shared" si="1"/>
        <v>12</v>
      </c>
      <c r="E5" s="133" t="s">
        <v>262</v>
      </c>
      <c r="F5" s="133" t="s">
        <v>263</v>
      </c>
      <c r="G5" s="133" t="s">
        <v>264</v>
      </c>
      <c r="H5" s="134"/>
    </row>
    <row r="6">
      <c r="A6" s="132" t="s">
        <v>73</v>
      </c>
      <c r="B6" s="132">
        <v>10.0</v>
      </c>
      <c r="C6" s="132">
        <v>1.0</v>
      </c>
      <c r="D6" s="132">
        <f t="shared" si="1"/>
        <v>11</v>
      </c>
      <c r="E6" s="133" t="s">
        <v>265</v>
      </c>
      <c r="F6" s="133" t="s">
        <v>266</v>
      </c>
      <c r="G6" s="133" t="s">
        <v>267</v>
      </c>
      <c r="H6" s="134"/>
    </row>
    <row r="7">
      <c r="A7" s="132" t="s">
        <v>57</v>
      </c>
      <c r="B7" s="132">
        <v>10.0</v>
      </c>
      <c r="C7" s="132">
        <v>1.0</v>
      </c>
      <c r="D7" s="132">
        <f t="shared" si="1"/>
        <v>11</v>
      </c>
      <c r="E7" s="133" t="s">
        <v>268</v>
      </c>
      <c r="F7" s="133" t="s">
        <v>269</v>
      </c>
      <c r="G7" s="133" t="s">
        <v>270</v>
      </c>
      <c r="H7" s="134"/>
    </row>
    <row r="8">
      <c r="A8" s="132" t="s">
        <v>3</v>
      </c>
      <c r="B8" s="132">
        <v>8.0</v>
      </c>
      <c r="C8" s="132">
        <v>0.0</v>
      </c>
      <c r="D8" s="132">
        <f t="shared" si="1"/>
        <v>8</v>
      </c>
      <c r="E8" s="133" t="s">
        <v>271</v>
      </c>
      <c r="F8" s="133" t="s">
        <v>272</v>
      </c>
      <c r="G8" s="133" t="s">
        <v>273</v>
      </c>
      <c r="H8" s="134"/>
    </row>
    <row r="9">
      <c r="A9" s="132" t="s">
        <v>88</v>
      </c>
      <c r="B9" s="132">
        <v>6.0</v>
      </c>
      <c r="C9" s="132">
        <v>1.0</v>
      </c>
      <c r="D9" s="132">
        <f t="shared" si="1"/>
        <v>7</v>
      </c>
      <c r="E9" s="133" t="s">
        <v>274</v>
      </c>
      <c r="F9" s="133" t="s">
        <v>275</v>
      </c>
      <c r="G9" s="133" t="s">
        <v>276</v>
      </c>
      <c r="H9" s="134"/>
    </row>
    <row r="10">
      <c r="A10" s="132" t="s">
        <v>71</v>
      </c>
      <c r="B10" s="132">
        <v>6.0</v>
      </c>
      <c r="C10" s="132">
        <v>0.0</v>
      </c>
      <c r="D10" s="132">
        <f t="shared" si="1"/>
        <v>6</v>
      </c>
      <c r="E10" s="133" t="s">
        <v>277</v>
      </c>
      <c r="F10" s="133" t="s">
        <v>278</v>
      </c>
      <c r="G10" s="133" t="s">
        <v>279</v>
      </c>
      <c r="H10" s="134"/>
    </row>
    <row r="11">
      <c r="A11" s="132" t="s">
        <v>50</v>
      </c>
      <c r="B11" s="132">
        <v>6.0</v>
      </c>
      <c r="C11" s="132">
        <v>0.0</v>
      </c>
      <c r="D11" s="132">
        <f t="shared" si="1"/>
        <v>6</v>
      </c>
      <c r="E11" s="133" t="s">
        <v>280</v>
      </c>
      <c r="F11" s="133" t="s">
        <v>281</v>
      </c>
      <c r="G11" s="133" t="s">
        <v>282</v>
      </c>
      <c r="H11" s="134"/>
    </row>
    <row r="12">
      <c r="A12" s="132" t="s">
        <v>94</v>
      </c>
      <c r="B12" s="132">
        <v>6.0</v>
      </c>
      <c r="C12" s="132">
        <v>0.0</v>
      </c>
      <c r="D12" s="132">
        <f t="shared" si="1"/>
        <v>6</v>
      </c>
      <c r="E12" s="133" t="s">
        <v>283</v>
      </c>
      <c r="F12" s="133" t="s">
        <v>284</v>
      </c>
      <c r="G12" s="133" t="s">
        <v>285</v>
      </c>
      <c r="H12" s="134"/>
    </row>
    <row r="13">
      <c r="A13" s="132" t="s">
        <v>125</v>
      </c>
      <c r="B13" s="132">
        <v>4.0</v>
      </c>
      <c r="C13" s="132">
        <v>1.0</v>
      </c>
      <c r="D13" s="132">
        <f t="shared" si="1"/>
        <v>5</v>
      </c>
      <c r="E13" s="133" t="s">
        <v>286</v>
      </c>
      <c r="F13" s="133" t="s">
        <v>287</v>
      </c>
      <c r="G13" s="133" t="s">
        <v>288</v>
      </c>
      <c r="H13" s="134"/>
    </row>
    <row r="14">
      <c r="A14" s="132" t="s">
        <v>115</v>
      </c>
      <c r="B14" s="132">
        <v>4.0</v>
      </c>
      <c r="C14" s="132">
        <v>1.0</v>
      </c>
      <c r="D14" s="132">
        <f t="shared" si="1"/>
        <v>5</v>
      </c>
      <c r="E14" s="133" t="s">
        <v>289</v>
      </c>
      <c r="F14" s="133" t="s">
        <v>290</v>
      </c>
      <c r="G14" s="133" t="s">
        <v>291</v>
      </c>
      <c r="H14" s="134"/>
    </row>
    <row r="15">
      <c r="A15" s="132" t="s">
        <v>92</v>
      </c>
      <c r="B15" s="132">
        <v>4.0</v>
      </c>
      <c r="C15" s="132">
        <v>0.0</v>
      </c>
      <c r="D15" s="132">
        <f t="shared" si="1"/>
        <v>4</v>
      </c>
      <c r="E15" s="133" t="s">
        <v>292</v>
      </c>
      <c r="F15" s="133" t="s">
        <v>293</v>
      </c>
      <c r="G15" s="133" t="s">
        <v>294</v>
      </c>
      <c r="H15" s="134"/>
    </row>
    <row r="16">
      <c r="A16" s="132" t="s">
        <v>65</v>
      </c>
      <c r="B16" s="132">
        <v>4.0</v>
      </c>
      <c r="C16" s="132">
        <v>0.0</v>
      </c>
      <c r="D16" s="132">
        <f t="shared" si="1"/>
        <v>4</v>
      </c>
      <c r="E16" s="133" t="s">
        <v>295</v>
      </c>
      <c r="F16" s="133" t="s">
        <v>296</v>
      </c>
      <c r="G16" s="133" t="s">
        <v>297</v>
      </c>
      <c r="H16" s="134"/>
    </row>
    <row r="17">
      <c r="A17" s="132" t="s">
        <v>74</v>
      </c>
      <c r="B17" s="132">
        <v>4.0</v>
      </c>
      <c r="C17" s="132">
        <v>0.0</v>
      </c>
      <c r="D17" s="132">
        <f t="shared" si="1"/>
        <v>4</v>
      </c>
      <c r="E17" s="133" t="s">
        <v>298</v>
      </c>
      <c r="F17" s="133" t="s">
        <v>299</v>
      </c>
      <c r="G17" s="133" t="s">
        <v>300</v>
      </c>
      <c r="H17" s="134"/>
    </row>
    <row r="18">
      <c r="A18" s="132" t="s">
        <v>67</v>
      </c>
      <c r="B18" s="132">
        <v>4.0</v>
      </c>
      <c r="C18" s="132">
        <v>0.0</v>
      </c>
      <c r="D18" s="132">
        <f t="shared" si="1"/>
        <v>4</v>
      </c>
      <c r="E18" s="133" t="s">
        <v>301</v>
      </c>
      <c r="F18" s="133" t="s">
        <v>302</v>
      </c>
      <c r="G18" s="133" t="s">
        <v>303</v>
      </c>
      <c r="H18" s="134"/>
    </row>
    <row r="19">
      <c r="A19" s="132" t="s">
        <v>121</v>
      </c>
      <c r="B19" s="132">
        <v>2.0</v>
      </c>
      <c r="C19" s="132">
        <v>2.0</v>
      </c>
      <c r="D19" s="132">
        <f t="shared" si="1"/>
        <v>4</v>
      </c>
      <c r="E19" s="133" t="s">
        <v>304</v>
      </c>
      <c r="F19" s="133" t="s">
        <v>305</v>
      </c>
      <c r="G19" s="133" t="s">
        <v>306</v>
      </c>
      <c r="H19" s="134"/>
    </row>
    <row r="20">
      <c r="A20" s="132" t="s">
        <v>114</v>
      </c>
      <c r="B20" s="132">
        <v>2.0</v>
      </c>
      <c r="C20" s="132">
        <v>1.0</v>
      </c>
      <c r="D20" s="132">
        <f t="shared" si="1"/>
        <v>3</v>
      </c>
      <c r="E20" s="133" t="s">
        <v>307</v>
      </c>
      <c r="F20" s="133" t="s">
        <v>308</v>
      </c>
      <c r="G20" s="133" t="s">
        <v>309</v>
      </c>
      <c r="H20" s="134"/>
    </row>
    <row r="21">
      <c r="A21" s="132" t="s">
        <v>85</v>
      </c>
      <c r="B21" s="132">
        <v>2.0</v>
      </c>
      <c r="C21" s="132">
        <v>1.0</v>
      </c>
      <c r="D21" s="132">
        <f t="shared" si="1"/>
        <v>3</v>
      </c>
      <c r="E21" s="133" t="s">
        <v>310</v>
      </c>
      <c r="F21" s="133" t="s">
        <v>311</v>
      </c>
      <c r="G21" s="133" t="s">
        <v>312</v>
      </c>
      <c r="H21" s="134"/>
    </row>
    <row r="22">
      <c r="A22" s="132" t="s">
        <v>104</v>
      </c>
      <c r="B22" s="132">
        <v>2.0</v>
      </c>
      <c r="C22" s="132">
        <v>0.0</v>
      </c>
      <c r="D22" s="132">
        <f t="shared" si="1"/>
        <v>2</v>
      </c>
      <c r="E22" s="133" t="s">
        <v>313</v>
      </c>
      <c r="F22" s="133" t="s">
        <v>314</v>
      </c>
      <c r="G22" s="133" t="s">
        <v>315</v>
      </c>
      <c r="H22" s="134"/>
    </row>
    <row r="23">
      <c r="A23" s="132" t="s">
        <v>62</v>
      </c>
      <c r="B23" s="132">
        <v>2.0</v>
      </c>
      <c r="C23" s="132">
        <v>0.0</v>
      </c>
      <c r="D23" s="132">
        <f t="shared" si="1"/>
        <v>2</v>
      </c>
      <c r="E23" s="133" t="s">
        <v>316</v>
      </c>
      <c r="F23" s="133" t="s">
        <v>317</v>
      </c>
      <c r="G23" s="133" t="s">
        <v>318</v>
      </c>
      <c r="H23" s="134"/>
    </row>
    <row r="24">
      <c r="A24" s="132" t="s">
        <v>105</v>
      </c>
      <c r="B24" s="132">
        <v>2.0</v>
      </c>
      <c r="C24" s="132">
        <v>0.0</v>
      </c>
      <c r="D24" s="132">
        <f t="shared" si="1"/>
        <v>2</v>
      </c>
      <c r="E24" s="133" t="s">
        <v>319</v>
      </c>
      <c r="F24" s="133" t="s">
        <v>320</v>
      </c>
      <c r="G24" s="133" t="s">
        <v>321</v>
      </c>
      <c r="H24" s="134"/>
    </row>
    <row r="25">
      <c r="A25" s="132" t="s">
        <v>101</v>
      </c>
      <c r="B25" s="132">
        <v>2.0</v>
      </c>
      <c r="C25" s="132">
        <v>0.0</v>
      </c>
      <c r="D25" s="132">
        <f t="shared" si="1"/>
        <v>2</v>
      </c>
      <c r="E25" s="133" t="s">
        <v>322</v>
      </c>
      <c r="F25" s="133" t="s">
        <v>323</v>
      </c>
      <c r="G25" s="133" t="s">
        <v>324</v>
      </c>
      <c r="H25" s="134"/>
    </row>
    <row r="26">
      <c r="A26" s="132" t="s">
        <v>82</v>
      </c>
      <c r="B26" s="132">
        <v>2.0</v>
      </c>
      <c r="C26" s="132">
        <v>0.0</v>
      </c>
      <c r="D26" s="132">
        <f t="shared" si="1"/>
        <v>2</v>
      </c>
      <c r="E26" s="133" t="s">
        <v>325</v>
      </c>
      <c r="F26" s="133" t="s">
        <v>326</v>
      </c>
      <c r="G26" s="133" t="s">
        <v>327</v>
      </c>
      <c r="H26" s="134"/>
    </row>
    <row r="27">
      <c r="A27" s="132" t="s">
        <v>64</v>
      </c>
      <c r="B27" s="132">
        <v>2.0</v>
      </c>
      <c r="C27" s="132">
        <v>0.0</v>
      </c>
      <c r="D27" s="132">
        <f t="shared" si="1"/>
        <v>2</v>
      </c>
      <c r="E27" s="133" t="s">
        <v>328</v>
      </c>
      <c r="F27" s="133" t="s">
        <v>329</v>
      </c>
      <c r="G27" s="133" t="s">
        <v>330</v>
      </c>
      <c r="H27" s="134"/>
    </row>
    <row r="28">
      <c r="A28" s="132" t="s">
        <v>90</v>
      </c>
      <c r="B28" s="132">
        <v>2.0</v>
      </c>
      <c r="C28" s="132">
        <v>0.0</v>
      </c>
      <c r="D28" s="132">
        <f t="shared" si="1"/>
        <v>2</v>
      </c>
      <c r="E28" s="133" t="s">
        <v>331</v>
      </c>
      <c r="F28" s="133" t="s">
        <v>332</v>
      </c>
      <c r="G28" s="133" t="s">
        <v>333</v>
      </c>
      <c r="H28" s="134"/>
    </row>
    <row r="29">
      <c r="A29" s="132" t="s">
        <v>96</v>
      </c>
      <c r="B29" s="132">
        <v>2.0</v>
      </c>
      <c r="C29" s="132">
        <v>0.0</v>
      </c>
      <c r="D29" s="132">
        <f t="shared" si="1"/>
        <v>2</v>
      </c>
      <c r="E29" s="133" t="s">
        <v>334</v>
      </c>
      <c r="F29" s="133" t="s">
        <v>335</v>
      </c>
      <c r="G29" s="133" t="s">
        <v>336</v>
      </c>
      <c r="H29" s="134"/>
    </row>
    <row r="30">
      <c r="A30" s="132" t="s">
        <v>98</v>
      </c>
      <c r="B30" s="132">
        <v>2.0</v>
      </c>
      <c r="C30" s="132">
        <v>0.0</v>
      </c>
      <c r="D30" s="132">
        <f t="shared" si="1"/>
        <v>2</v>
      </c>
      <c r="E30" s="133" t="s">
        <v>337</v>
      </c>
      <c r="F30" s="133" t="s">
        <v>338</v>
      </c>
      <c r="G30" s="133" t="s">
        <v>339</v>
      </c>
      <c r="H30" s="134"/>
    </row>
    <row r="31">
      <c r="A31" s="132" t="s">
        <v>76</v>
      </c>
      <c r="B31" s="132">
        <v>2.0</v>
      </c>
      <c r="C31" s="132">
        <v>0.0</v>
      </c>
      <c r="D31" s="132">
        <f t="shared" si="1"/>
        <v>2</v>
      </c>
      <c r="E31" s="133" t="s">
        <v>340</v>
      </c>
      <c r="F31" s="133" t="s">
        <v>341</v>
      </c>
      <c r="G31" s="133" t="s">
        <v>342</v>
      </c>
      <c r="H31" s="134"/>
    </row>
    <row r="32">
      <c r="A32" s="132" t="s">
        <v>141</v>
      </c>
      <c r="B32" s="132">
        <v>0.0</v>
      </c>
      <c r="C32" s="132">
        <v>1.0</v>
      </c>
      <c r="D32" s="132">
        <f t="shared" si="1"/>
        <v>1</v>
      </c>
      <c r="E32" s="133" t="s">
        <v>343</v>
      </c>
      <c r="F32" s="133" t="s">
        <v>344</v>
      </c>
      <c r="G32" s="133" t="s">
        <v>345</v>
      </c>
      <c r="H32" s="134"/>
    </row>
    <row r="33">
      <c r="A33" s="132" t="s">
        <v>136</v>
      </c>
      <c r="B33" s="132">
        <v>0.0</v>
      </c>
      <c r="C33" s="132">
        <v>1.0</v>
      </c>
      <c r="D33" s="132">
        <f t="shared" si="1"/>
        <v>1</v>
      </c>
      <c r="E33" s="133" t="s">
        <v>346</v>
      </c>
      <c r="F33" s="133" t="s">
        <v>347</v>
      </c>
      <c r="G33" s="133" t="s">
        <v>348</v>
      </c>
      <c r="H33" s="134"/>
    </row>
    <row r="34">
      <c r="A34" s="132" t="s">
        <v>139</v>
      </c>
      <c r="B34" s="132">
        <v>0.0</v>
      </c>
      <c r="C34" s="132">
        <v>1.0</v>
      </c>
      <c r="D34" s="132">
        <f t="shared" si="1"/>
        <v>1</v>
      </c>
      <c r="E34" s="133" t="s">
        <v>349</v>
      </c>
      <c r="F34" s="133" t="s">
        <v>350</v>
      </c>
      <c r="G34" s="133" t="s">
        <v>351</v>
      </c>
      <c r="H34" s="134"/>
    </row>
    <row r="35">
      <c r="A35" s="132" t="s">
        <v>142</v>
      </c>
      <c r="B35" s="132">
        <v>0.0</v>
      </c>
      <c r="C35" s="132">
        <v>1.0</v>
      </c>
      <c r="D35" s="132">
        <f t="shared" si="1"/>
        <v>1</v>
      </c>
      <c r="E35" s="133" t="s">
        <v>352</v>
      </c>
      <c r="F35" s="133" t="s">
        <v>353</v>
      </c>
      <c r="G35" s="133" t="s">
        <v>354</v>
      </c>
      <c r="H35" s="134"/>
    </row>
  </sheetData>
  <autoFilter ref="$A$1:$H$35"/>
  <customSheetViews>
    <customSheetView guid="{DCFDBBDB-736E-40B7-A65E-4C5C6DB049AA}" filter="1" showAutoFilter="1">
      <autoFilter ref="$A$1:$H$35"/>
    </customSheetView>
    <customSheetView guid="{668C3012-8E08-4BBA-BD45-BE7F20E90927}" filter="1" showAutoFilter="1">
      <autoFilter ref="$A$1:$H$35"/>
    </customSheetView>
  </customSheetView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5.5"/>
  </cols>
  <sheetData>
    <row r="1">
      <c r="A1" s="135" t="s">
        <v>355</v>
      </c>
      <c r="B1" s="135" t="s">
        <v>356</v>
      </c>
    </row>
    <row r="2">
      <c r="A2" s="136" t="s">
        <v>357</v>
      </c>
      <c r="B2" s="136" t="s">
        <v>3</v>
      </c>
    </row>
    <row r="3">
      <c r="A3" s="136" t="s">
        <v>250</v>
      </c>
      <c r="B3" s="136" t="s">
        <v>358</v>
      </c>
    </row>
    <row r="4">
      <c r="A4" s="137" t="s">
        <v>359</v>
      </c>
      <c r="B4" s="137" t="b">
        <v>1</v>
      </c>
    </row>
    <row r="5">
      <c r="A5" s="136" t="s">
        <v>360</v>
      </c>
      <c r="B5" s="138" t="s">
        <v>361</v>
      </c>
    </row>
    <row r="6">
      <c r="A6" s="136" t="s">
        <v>362</v>
      </c>
      <c r="B6" s="136">
        <v>2.0</v>
      </c>
    </row>
    <row r="7">
      <c r="A7" s="136" t="s">
        <v>363</v>
      </c>
      <c r="B7" s="136" t="s">
        <v>364</v>
      </c>
    </row>
    <row r="8">
      <c r="A8" s="137" t="s">
        <v>365</v>
      </c>
      <c r="B8" s="137">
        <v>2.0</v>
      </c>
    </row>
    <row r="9">
      <c r="A9" s="137" t="s">
        <v>366</v>
      </c>
      <c r="B9" s="137" t="s">
        <v>367</v>
      </c>
    </row>
    <row r="10">
      <c r="A10" s="137" t="s">
        <v>368</v>
      </c>
      <c r="B10" s="137" t="s">
        <v>3</v>
      </c>
    </row>
    <row r="11">
      <c r="A11" s="137" t="s">
        <v>369</v>
      </c>
      <c r="B11" s="137">
        <v>2.0</v>
      </c>
    </row>
    <row r="12">
      <c r="A12" s="137" t="s">
        <v>370</v>
      </c>
      <c r="B12" s="137" t="s">
        <v>371</v>
      </c>
    </row>
    <row r="13">
      <c r="A13" s="137" t="s">
        <v>372</v>
      </c>
      <c r="B13" s="137" t="s">
        <v>3</v>
      </c>
    </row>
    <row r="14">
      <c r="A14" s="137" t="s">
        <v>373</v>
      </c>
      <c r="B14" s="137">
        <v>2.0</v>
      </c>
    </row>
    <row r="15">
      <c r="A15" s="137" t="s">
        <v>374</v>
      </c>
      <c r="B15" s="137" t="s">
        <v>371</v>
      </c>
    </row>
    <row r="16">
      <c r="A16" s="137" t="s">
        <v>375</v>
      </c>
      <c r="B16" s="137" t="s">
        <v>3</v>
      </c>
    </row>
    <row r="17">
      <c r="A17" s="137" t="s">
        <v>376</v>
      </c>
      <c r="B17" s="137"/>
    </row>
    <row r="18">
      <c r="A18" s="137" t="s">
        <v>377</v>
      </c>
      <c r="B18" s="139"/>
    </row>
    <row r="19">
      <c r="A19" s="137" t="s">
        <v>378</v>
      </c>
      <c r="B19" s="139"/>
    </row>
    <row r="20">
      <c r="A20" s="137" t="s">
        <v>379</v>
      </c>
      <c r="B20" s="137">
        <v>2.0</v>
      </c>
    </row>
    <row r="21">
      <c r="A21" s="137" t="s">
        <v>380</v>
      </c>
      <c r="B21" s="137" t="s">
        <v>371</v>
      </c>
    </row>
    <row r="22">
      <c r="A22" s="137" t="s">
        <v>381</v>
      </c>
      <c r="B22" s="137" t="s">
        <v>3</v>
      </c>
    </row>
    <row r="23">
      <c r="A23" s="137" t="s">
        <v>382</v>
      </c>
      <c r="B23" s="137">
        <v>1.0</v>
      </c>
    </row>
    <row r="24">
      <c r="A24" s="137" t="s">
        <v>383</v>
      </c>
      <c r="B24" s="140">
        <v>0.8333333333333334</v>
      </c>
    </row>
    <row r="25">
      <c r="A25" s="137" t="s">
        <v>384</v>
      </c>
      <c r="B25" s="137" t="s">
        <v>3</v>
      </c>
    </row>
    <row r="26">
      <c r="A26" s="137" t="s">
        <v>385</v>
      </c>
      <c r="B26" s="137">
        <v>2.0</v>
      </c>
    </row>
    <row r="27">
      <c r="A27" s="137" t="s">
        <v>386</v>
      </c>
      <c r="B27" s="137" t="s">
        <v>367</v>
      </c>
    </row>
    <row r="28">
      <c r="A28" s="137" t="s">
        <v>387</v>
      </c>
      <c r="B28" s="137" t="s">
        <v>3</v>
      </c>
    </row>
    <row r="29">
      <c r="A29" s="137" t="s">
        <v>388</v>
      </c>
      <c r="B29" s="137" t="s">
        <v>389</v>
      </c>
    </row>
    <row r="30">
      <c r="A30" s="137" t="s">
        <v>390</v>
      </c>
      <c r="B30" s="137" t="b">
        <v>1</v>
      </c>
    </row>
  </sheetData>
  <dataValidations>
    <dataValidation type="list" allowBlank="1" showErrorMessage="1" sqref="B4 B30">
      <formula1>"FALSE,TRUE"</formula1>
    </dataValidation>
  </dataValidations>
  <hyperlinks>
    <hyperlink r:id="rId1" ref="B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27.5"/>
    <col customWidth="1" min="4" max="4" width="18.88"/>
  </cols>
  <sheetData>
    <row r="1" ht="22.5" customHeight="1">
      <c r="A1" s="141" t="s">
        <v>154</v>
      </c>
      <c r="B1" s="142" t="s">
        <v>391</v>
      </c>
      <c r="C1" s="141" t="s">
        <v>392</v>
      </c>
      <c r="D1" s="143" t="s">
        <v>162</v>
      </c>
    </row>
    <row r="2" ht="22.5" customHeight="1">
      <c r="A2" s="144">
        <v>45954.61219381944</v>
      </c>
      <c r="B2" s="145" t="s">
        <v>226</v>
      </c>
      <c r="C2" s="145" t="s">
        <v>393</v>
      </c>
      <c r="D2" s="146" t="s">
        <v>394</v>
      </c>
    </row>
    <row r="3" ht="22.5" customHeight="1">
      <c r="A3" s="147">
        <v>45954.65384584491</v>
      </c>
      <c r="B3" s="148" t="s">
        <v>187</v>
      </c>
      <c r="C3" s="148" t="s">
        <v>395</v>
      </c>
      <c r="D3" s="149" t="s">
        <v>394</v>
      </c>
    </row>
    <row r="4" ht="22.5" customHeight="1">
      <c r="A4" s="144">
        <v>45954.657254502315</v>
      </c>
      <c r="B4" s="145" t="s">
        <v>190</v>
      </c>
      <c r="C4" s="145" t="s">
        <v>396</v>
      </c>
      <c r="D4" s="146" t="s">
        <v>394</v>
      </c>
    </row>
    <row r="5" ht="22.5" customHeight="1">
      <c r="A5" s="147">
        <v>45954.895484050925</v>
      </c>
      <c r="B5" s="148" t="s">
        <v>215</v>
      </c>
      <c r="C5" s="150" t="s">
        <v>397</v>
      </c>
      <c r="D5" s="149" t="s">
        <v>394</v>
      </c>
    </row>
    <row r="6" ht="22.5" customHeight="1">
      <c r="A6" s="144">
        <v>45955.57584686343</v>
      </c>
      <c r="B6" s="145" t="s">
        <v>185</v>
      </c>
      <c r="C6" s="151" t="s">
        <v>398</v>
      </c>
      <c r="D6" s="146" t="s">
        <v>394</v>
      </c>
    </row>
    <row r="7" ht="22.5" customHeight="1">
      <c r="A7" s="147">
        <v>45955.58615878472</v>
      </c>
      <c r="B7" s="148" t="s">
        <v>173</v>
      </c>
      <c r="C7" s="150" t="s">
        <v>399</v>
      </c>
      <c r="D7" s="149" t="s">
        <v>394</v>
      </c>
    </row>
    <row r="8" ht="22.5" customHeight="1">
      <c r="A8" s="144">
        <v>45955.62392831019</v>
      </c>
      <c r="B8" s="145" t="s">
        <v>172</v>
      </c>
      <c r="C8" s="151" t="s">
        <v>400</v>
      </c>
      <c r="D8" s="146" t="s">
        <v>394</v>
      </c>
    </row>
    <row r="9" ht="22.5" customHeight="1">
      <c r="A9" s="147">
        <v>45956.8855730787</v>
      </c>
      <c r="B9" s="148" t="s">
        <v>196</v>
      </c>
      <c r="C9" s="150" t="s">
        <v>401</v>
      </c>
      <c r="D9" s="149" t="s">
        <v>394</v>
      </c>
    </row>
    <row r="10" ht="22.5" customHeight="1">
      <c r="A10" s="144">
        <v>45956.88839068287</v>
      </c>
      <c r="B10" s="145" t="s">
        <v>195</v>
      </c>
      <c r="C10" s="151" t="s">
        <v>402</v>
      </c>
      <c r="D10" s="146" t="s">
        <v>394</v>
      </c>
    </row>
    <row r="11" ht="22.5" customHeight="1">
      <c r="A11" s="147">
        <v>45956.893267974534</v>
      </c>
      <c r="B11" s="148" t="s">
        <v>206</v>
      </c>
      <c r="C11" s="150" t="s">
        <v>403</v>
      </c>
      <c r="D11" s="149" t="s">
        <v>394</v>
      </c>
    </row>
    <row r="12" ht="22.5" customHeight="1">
      <c r="A12" s="144">
        <v>45956.89341053241</v>
      </c>
      <c r="B12" s="145" t="s">
        <v>207</v>
      </c>
      <c r="C12" s="151" t="s">
        <v>403</v>
      </c>
      <c r="D12" s="146" t="s">
        <v>394</v>
      </c>
    </row>
    <row r="13" ht="22.5" customHeight="1">
      <c r="A13" s="147">
        <v>45956.89800502315</v>
      </c>
      <c r="B13" s="148" t="s">
        <v>222</v>
      </c>
      <c r="C13" s="150" t="s">
        <v>404</v>
      </c>
      <c r="D13" s="149" t="s">
        <v>394</v>
      </c>
    </row>
    <row r="14" ht="22.5" customHeight="1">
      <c r="A14" s="144">
        <v>45956.89830072917</v>
      </c>
      <c r="B14" s="145" t="s">
        <v>209</v>
      </c>
      <c r="C14" s="151" t="s">
        <v>405</v>
      </c>
      <c r="D14" s="146" t="s">
        <v>394</v>
      </c>
    </row>
    <row r="15" ht="22.5" customHeight="1">
      <c r="A15" s="147">
        <v>45956.89934606482</v>
      </c>
      <c r="B15" s="148" t="s">
        <v>204</v>
      </c>
      <c r="C15" s="150" t="s">
        <v>406</v>
      </c>
      <c r="D15" s="149" t="s">
        <v>394</v>
      </c>
    </row>
    <row r="16" ht="22.5" customHeight="1">
      <c r="A16" s="144">
        <v>45956.90909768519</v>
      </c>
      <c r="B16" s="145" t="s">
        <v>208</v>
      </c>
      <c r="C16" s="151" t="s">
        <v>407</v>
      </c>
      <c r="D16" s="146" t="s">
        <v>394</v>
      </c>
    </row>
    <row r="17" ht="22.5" customHeight="1">
      <c r="A17" s="147">
        <v>45956.920175023144</v>
      </c>
      <c r="B17" s="148" t="s">
        <v>197</v>
      </c>
      <c r="C17" s="150" t="s">
        <v>408</v>
      </c>
      <c r="D17" s="149" t="s">
        <v>394</v>
      </c>
    </row>
    <row r="18" ht="22.5" customHeight="1">
      <c r="A18" s="144">
        <v>45956.93902878472</v>
      </c>
      <c r="B18" s="145" t="s">
        <v>205</v>
      </c>
      <c r="C18" s="151" t="s">
        <v>409</v>
      </c>
      <c r="D18" s="146" t="s">
        <v>394</v>
      </c>
    </row>
    <row r="19" ht="22.5" customHeight="1">
      <c r="A19" s="147">
        <v>45957.023969166665</v>
      </c>
      <c r="B19" s="148" t="s">
        <v>190</v>
      </c>
      <c r="C19" s="152" t="s">
        <v>410</v>
      </c>
      <c r="D19" s="149" t="s">
        <v>394</v>
      </c>
    </row>
    <row r="20" ht="22.5" customHeight="1">
      <c r="A20" s="144">
        <v>45957.02685995371</v>
      </c>
      <c r="B20" s="145" t="s">
        <v>194</v>
      </c>
      <c r="C20" s="151" t="s">
        <v>411</v>
      </c>
      <c r="D20" s="146" t="s">
        <v>394</v>
      </c>
    </row>
    <row r="21" ht="22.5" customHeight="1">
      <c r="A21" s="147">
        <v>45957.56214351852</v>
      </c>
      <c r="B21" s="148" t="s">
        <v>225</v>
      </c>
      <c r="C21" s="150" t="s">
        <v>412</v>
      </c>
      <c r="D21" s="149" t="s">
        <v>394</v>
      </c>
    </row>
    <row r="22" ht="22.5" customHeight="1">
      <c r="A22" s="144">
        <v>45957.564166909724</v>
      </c>
      <c r="B22" s="145" t="s">
        <v>224</v>
      </c>
      <c r="C22" s="151" t="s">
        <v>413</v>
      </c>
      <c r="D22" s="146" t="s">
        <v>394</v>
      </c>
    </row>
    <row r="23" ht="22.5" customHeight="1">
      <c r="A23" s="147">
        <v>45957.630218819446</v>
      </c>
      <c r="B23" s="148" t="s">
        <v>191</v>
      </c>
      <c r="C23" s="150" t="s">
        <v>414</v>
      </c>
      <c r="D23" s="149" t="s">
        <v>394</v>
      </c>
    </row>
    <row r="24" ht="22.5" customHeight="1">
      <c r="A24" s="144">
        <v>45957.63116797454</v>
      </c>
      <c r="B24" s="145" t="s">
        <v>193</v>
      </c>
      <c r="C24" s="151" t="s">
        <v>415</v>
      </c>
      <c r="D24" s="146" t="s">
        <v>394</v>
      </c>
    </row>
    <row r="25" ht="22.5" customHeight="1">
      <c r="A25" s="147">
        <v>45957.63148049769</v>
      </c>
      <c r="B25" s="148" t="s">
        <v>192</v>
      </c>
      <c r="C25" s="150" t="s">
        <v>416</v>
      </c>
      <c r="D25" s="149" t="s">
        <v>394</v>
      </c>
    </row>
    <row r="26" ht="22.5" customHeight="1">
      <c r="A26" s="144">
        <v>45957.63204428241</v>
      </c>
      <c r="B26" s="145" t="s">
        <v>194</v>
      </c>
      <c r="C26" s="151" t="s">
        <v>417</v>
      </c>
      <c r="D26" s="146" t="s">
        <v>394</v>
      </c>
    </row>
    <row r="27" ht="22.5" customHeight="1">
      <c r="A27" s="147">
        <v>45957.75715609954</v>
      </c>
      <c r="B27" s="148" t="s">
        <v>231</v>
      </c>
      <c r="C27" s="148" t="s">
        <v>418</v>
      </c>
      <c r="D27" s="149" t="s">
        <v>394</v>
      </c>
    </row>
    <row r="28" ht="22.5" customHeight="1">
      <c r="A28" s="144">
        <v>45958.45482032407</v>
      </c>
      <c r="B28" s="145" t="s">
        <v>171</v>
      </c>
      <c r="C28" s="145" t="s">
        <v>419</v>
      </c>
      <c r="D28" s="146" t="s">
        <v>394</v>
      </c>
    </row>
    <row r="29" ht="22.5" customHeight="1">
      <c r="A29" s="147">
        <v>45958.504736250004</v>
      </c>
      <c r="B29" s="148" t="s">
        <v>190</v>
      </c>
      <c r="C29" s="148" t="s">
        <v>420</v>
      </c>
      <c r="D29" s="149" t="s">
        <v>394</v>
      </c>
    </row>
    <row r="30" ht="22.5" customHeight="1">
      <c r="A30" s="144">
        <v>45958.711053182866</v>
      </c>
      <c r="B30" s="145" t="s">
        <v>218</v>
      </c>
      <c r="C30" s="145" t="s">
        <v>421</v>
      </c>
      <c r="D30" s="146" t="s">
        <v>394</v>
      </c>
    </row>
    <row r="31" ht="22.5" customHeight="1">
      <c r="A31" s="147">
        <v>45958.71191842592</v>
      </c>
      <c r="B31" s="148" t="s">
        <v>230</v>
      </c>
      <c r="C31" s="148" t="s">
        <v>422</v>
      </c>
      <c r="D31" s="149" t="s">
        <v>394</v>
      </c>
    </row>
    <row r="32" ht="22.5" customHeight="1">
      <c r="A32" s="144">
        <v>45958.71559221065</v>
      </c>
      <c r="B32" s="145" t="s">
        <v>218</v>
      </c>
      <c r="C32" s="145" t="s">
        <v>423</v>
      </c>
      <c r="D32" s="146" t="s">
        <v>394</v>
      </c>
    </row>
    <row r="33" ht="22.5" customHeight="1">
      <c r="A33" s="147">
        <v>45958.71622202546</v>
      </c>
      <c r="B33" s="148" t="s">
        <v>219</v>
      </c>
      <c r="C33" s="148" t="s">
        <v>424</v>
      </c>
      <c r="D33" s="149" t="s">
        <v>394</v>
      </c>
    </row>
    <row r="34" ht="22.5" customHeight="1">
      <c r="A34" s="144">
        <v>45958.81962488426</v>
      </c>
      <c r="B34" s="145" t="s">
        <v>167</v>
      </c>
      <c r="C34" s="145" t="s">
        <v>425</v>
      </c>
      <c r="D34" s="146" t="s">
        <v>394</v>
      </c>
    </row>
    <row r="35" ht="22.5" customHeight="1">
      <c r="A35" s="147">
        <v>45958.81993337963</v>
      </c>
      <c r="B35" s="148" t="s">
        <v>170</v>
      </c>
      <c r="C35" s="148" t="s">
        <v>425</v>
      </c>
      <c r="D35" s="149" t="s">
        <v>394</v>
      </c>
    </row>
    <row r="36" ht="22.5" customHeight="1">
      <c r="A36" s="144">
        <v>45958.820139421296</v>
      </c>
      <c r="B36" s="145" t="s">
        <v>168</v>
      </c>
      <c r="C36" s="145" t="s">
        <v>426</v>
      </c>
      <c r="D36" s="146" t="s">
        <v>394</v>
      </c>
    </row>
    <row r="37" ht="22.5" customHeight="1">
      <c r="A37" s="147">
        <v>45958.82040657407</v>
      </c>
      <c r="B37" s="148" t="s">
        <v>169</v>
      </c>
      <c r="C37" s="148" t="s">
        <v>426</v>
      </c>
      <c r="D37" s="149" t="s">
        <v>394</v>
      </c>
    </row>
    <row r="38" ht="22.5" customHeight="1">
      <c r="A38" s="144">
        <v>45958.98214765046</v>
      </c>
      <c r="B38" s="145" t="s">
        <v>214</v>
      </c>
      <c r="C38" s="145" t="s">
        <v>427</v>
      </c>
      <c r="D38" s="146" t="s">
        <v>394</v>
      </c>
    </row>
    <row r="39" ht="22.5" customHeight="1">
      <c r="A39" s="147">
        <v>45959.45542950231</v>
      </c>
      <c r="B39" s="148" t="s">
        <v>203</v>
      </c>
      <c r="C39" s="148" t="s">
        <v>428</v>
      </c>
      <c r="D39" s="149" t="s">
        <v>394</v>
      </c>
    </row>
    <row r="40" ht="22.5" customHeight="1">
      <c r="A40" s="144">
        <v>45959.45625270833</v>
      </c>
      <c r="B40" s="145" t="s">
        <v>212</v>
      </c>
      <c r="C40" s="145" t="s">
        <v>429</v>
      </c>
      <c r="D40" s="146" t="s">
        <v>394</v>
      </c>
    </row>
    <row r="41" ht="22.5" customHeight="1">
      <c r="A41" s="147">
        <v>45959.4621678125</v>
      </c>
      <c r="B41" s="148" t="s">
        <v>220</v>
      </c>
      <c r="C41" s="148" t="s">
        <v>430</v>
      </c>
      <c r="D41" s="149" t="s">
        <v>394</v>
      </c>
    </row>
    <row r="42" ht="22.5" customHeight="1">
      <c r="A42" s="144">
        <v>45959.46429532407</v>
      </c>
      <c r="B42" s="145" t="s">
        <v>221</v>
      </c>
      <c r="C42" s="145" t="s">
        <v>431</v>
      </c>
      <c r="D42" s="146" t="s">
        <v>394</v>
      </c>
    </row>
    <row r="43" ht="22.5" customHeight="1">
      <c r="A43" s="147">
        <v>45959.46449460648</v>
      </c>
      <c r="B43" s="148" t="s">
        <v>211</v>
      </c>
      <c r="C43" s="148" t="s">
        <v>432</v>
      </c>
      <c r="D43" s="149" t="s">
        <v>394</v>
      </c>
    </row>
    <row r="44" ht="22.5" customHeight="1">
      <c r="A44" s="144">
        <v>45959.47122228009</v>
      </c>
      <c r="B44" s="145" t="s">
        <v>186</v>
      </c>
      <c r="C44" s="145" t="s">
        <v>433</v>
      </c>
      <c r="D44" s="146" t="s">
        <v>394</v>
      </c>
    </row>
    <row r="45" ht="22.5" customHeight="1">
      <c r="A45" s="147">
        <v>45959.4758674537</v>
      </c>
      <c r="B45" s="148" t="s">
        <v>177</v>
      </c>
      <c r="C45" s="148" t="s">
        <v>434</v>
      </c>
      <c r="D45" s="149" t="s">
        <v>394</v>
      </c>
    </row>
    <row r="46" ht="22.5" customHeight="1">
      <c r="A46" s="144">
        <v>45959.48023670139</v>
      </c>
      <c r="B46" s="145" t="s">
        <v>182</v>
      </c>
      <c r="C46" s="153" t="s">
        <v>435</v>
      </c>
      <c r="D46" s="146" t="s">
        <v>394</v>
      </c>
    </row>
    <row r="47" ht="22.5" customHeight="1">
      <c r="A47" s="147">
        <v>45959.48260913194</v>
      </c>
      <c r="B47" s="148" t="s">
        <v>200</v>
      </c>
      <c r="C47" s="148" t="s">
        <v>436</v>
      </c>
      <c r="D47" s="149" t="s">
        <v>394</v>
      </c>
    </row>
    <row r="48" ht="22.5" customHeight="1">
      <c r="A48" s="144">
        <v>45959.50036315972</v>
      </c>
      <c r="B48" s="145" t="s">
        <v>202</v>
      </c>
      <c r="C48" s="145" t="s">
        <v>437</v>
      </c>
      <c r="D48" s="146" t="s">
        <v>394</v>
      </c>
    </row>
    <row r="49" ht="22.5" customHeight="1">
      <c r="A49" s="147">
        <v>45959.507184629634</v>
      </c>
      <c r="B49" s="148" t="s">
        <v>193</v>
      </c>
      <c r="C49" s="148" t="s">
        <v>438</v>
      </c>
      <c r="D49" s="149" t="s">
        <v>394</v>
      </c>
    </row>
    <row r="50" ht="22.5" customHeight="1">
      <c r="A50" s="144">
        <v>45959.56508681713</v>
      </c>
      <c r="B50" s="145" t="s">
        <v>175</v>
      </c>
      <c r="C50" s="145" t="s">
        <v>439</v>
      </c>
      <c r="D50" s="146" t="s">
        <v>394</v>
      </c>
    </row>
    <row r="51" ht="22.5" customHeight="1">
      <c r="A51" s="147">
        <v>45959.567426759255</v>
      </c>
      <c r="B51" s="148" t="s">
        <v>228</v>
      </c>
      <c r="C51" s="148" t="s">
        <v>440</v>
      </c>
      <c r="D51" s="149" t="s">
        <v>394</v>
      </c>
    </row>
    <row r="52" ht="22.5" customHeight="1">
      <c r="A52" s="144">
        <v>45959.57699681713</v>
      </c>
      <c r="B52" s="145" t="s">
        <v>189</v>
      </c>
      <c r="C52" s="145" t="s">
        <v>441</v>
      </c>
      <c r="D52" s="146" t="s">
        <v>394</v>
      </c>
    </row>
    <row r="53" ht="22.5" customHeight="1">
      <c r="A53" s="147">
        <v>45959.5886630787</v>
      </c>
      <c r="B53" s="148" t="s">
        <v>184</v>
      </c>
      <c r="C53" s="148" t="s">
        <v>442</v>
      </c>
      <c r="D53" s="149" t="s">
        <v>394</v>
      </c>
    </row>
    <row r="54" ht="22.5" customHeight="1">
      <c r="A54" s="144">
        <v>45960.306851643516</v>
      </c>
      <c r="B54" s="145" t="s">
        <v>223</v>
      </c>
      <c r="C54" s="145" t="s">
        <v>443</v>
      </c>
      <c r="D54" s="146" t="s">
        <v>394</v>
      </c>
    </row>
    <row r="55" ht="22.5" customHeight="1">
      <c r="A55" s="147">
        <v>45960.58069890046</v>
      </c>
      <c r="B55" s="148" t="s">
        <v>179</v>
      </c>
      <c r="C55" s="148" t="s">
        <v>444</v>
      </c>
      <c r="D55" s="149" t="s">
        <v>394</v>
      </c>
    </row>
    <row r="56" ht="22.5" customHeight="1">
      <c r="A56" s="144">
        <v>45961.94615878472</v>
      </c>
      <c r="B56" s="145" t="s">
        <v>171</v>
      </c>
      <c r="C56" s="154" t="s">
        <v>445</v>
      </c>
      <c r="D56" s="146" t="s">
        <v>394</v>
      </c>
    </row>
    <row r="57" ht="22.5" customHeight="1">
      <c r="A57" s="147">
        <v>45967.77435184028</v>
      </c>
      <c r="B57" s="148" t="s">
        <v>222</v>
      </c>
      <c r="C57" s="155" t="s">
        <v>446</v>
      </c>
      <c r="D57" s="149" t="s">
        <v>394</v>
      </c>
    </row>
    <row r="58" ht="22.5" customHeight="1">
      <c r="A58" s="144">
        <v>45972.89631960648</v>
      </c>
      <c r="B58" s="145" t="s">
        <v>216</v>
      </c>
      <c r="C58" s="145" t="s">
        <v>447</v>
      </c>
      <c r="D58" s="156" t="s">
        <v>394</v>
      </c>
    </row>
    <row r="59" ht="22.5" customHeight="1">
      <c r="A59" s="157">
        <v>45979.35911871528</v>
      </c>
      <c r="B59" s="158" t="s">
        <v>222</v>
      </c>
      <c r="C59" s="158" t="s">
        <v>448</v>
      </c>
      <c r="D59" s="159" t="s">
        <v>394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13"/>
    <col customWidth="1" min="3" max="3" width="66.75"/>
    <col customWidth="1" min="4" max="4" width="62.63"/>
    <col customWidth="1" min="5" max="6" width="10.88"/>
    <col customWidth="1" min="7" max="7" width="25.63"/>
    <col customWidth="1" min="8" max="8" width="81.38"/>
  </cols>
  <sheetData>
    <row r="1">
      <c r="A1" s="160" t="s">
        <v>154</v>
      </c>
      <c r="B1" s="160" t="s">
        <v>391</v>
      </c>
      <c r="C1" s="160" t="s">
        <v>449</v>
      </c>
      <c r="D1" s="160" t="s">
        <v>450</v>
      </c>
      <c r="E1" s="160" t="s">
        <v>451</v>
      </c>
      <c r="F1" s="160" t="s">
        <v>452</v>
      </c>
      <c r="G1" s="160" t="s">
        <v>162</v>
      </c>
      <c r="H1" s="160" t="s">
        <v>252</v>
      </c>
    </row>
    <row r="2">
      <c r="A2" s="161">
        <v>45983.71819483796</v>
      </c>
      <c r="B2" s="160" t="s">
        <v>226</v>
      </c>
      <c r="C2" s="160" t="s">
        <v>393</v>
      </c>
      <c r="D2" s="160" t="s">
        <v>393</v>
      </c>
      <c r="E2" s="160">
        <v>9.0</v>
      </c>
      <c r="F2" s="160">
        <v>0.0</v>
      </c>
      <c r="G2" s="160" t="s">
        <v>453</v>
      </c>
      <c r="H2" s="160"/>
    </row>
    <row r="3">
      <c r="A3" s="161">
        <v>45983.718200682866</v>
      </c>
      <c r="B3" s="160" t="s">
        <v>187</v>
      </c>
      <c r="C3" s="160" t="s">
        <v>395</v>
      </c>
      <c r="D3" s="160" t="s">
        <v>454</v>
      </c>
      <c r="E3" s="160">
        <v>10.0</v>
      </c>
      <c r="F3" s="160">
        <v>4.0</v>
      </c>
      <c r="G3" s="160" t="s">
        <v>455</v>
      </c>
      <c r="H3" s="160"/>
    </row>
    <row r="4">
      <c r="A4" s="161">
        <v>45983.71820333334</v>
      </c>
      <c r="B4" s="160" t="s">
        <v>190</v>
      </c>
      <c r="C4" s="160" t="s">
        <v>396</v>
      </c>
      <c r="D4" s="160" t="s">
        <v>456</v>
      </c>
      <c r="E4" s="160">
        <v>12.0</v>
      </c>
      <c r="F4" s="160">
        <v>2.0</v>
      </c>
      <c r="G4" s="160" t="s">
        <v>455</v>
      </c>
      <c r="H4" s="160"/>
    </row>
    <row r="5">
      <c r="A5" s="161">
        <v>45983.718206377314</v>
      </c>
      <c r="B5" s="160" t="s">
        <v>215</v>
      </c>
      <c r="C5" s="160" t="s">
        <v>397</v>
      </c>
      <c r="D5" s="160" t="s">
        <v>457</v>
      </c>
      <c r="E5" s="160">
        <v>34.0</v>
      </c>
      <c r="F5" s="160">
        <v>2.0</v>
      </c>
      <c r="G5" s="160" t="s">
        <v>455</v>
      </c>
      <c r="H5" s="160"/>
    </row>
    <row r="6">
      <c r="A6" s="161">
        <v>45983.71820899306</v>
      </c>
      <c r="B6" s="160" t="s">
        <v>185</v>
      </c>
      <c r="C6" s="160" t="s">
        <v>398</v>
      </c>
      <c r="D6" s="160" t="s">
        <v>458</v>
      </c>
      <c r="E6" s="160">
        <v>14.0</v>
      </c>
      <c r="F6" s="160">
        <v>0.0</v>
      </c>
      <c r="G6" s="160" t="s">
        <v>453</v>
      </c>
      <c r="H6" s="160"/>
    </row>
    <row r="7">
      <c r="A7" s="161">
        <v>45983.71821146991</v>
      </c>
      <c r="B7" s="160" t="s">
        <v>173</v>
      </c>
      <c r="C7" s="160" t="s">
        <v>399</v>
      </c>
      <c r="D7" s="160" t="s">
        <v>459</v>
      </c>
      <c r="E7" s="160">
        <v>11.0</v>
      </c>
      <c r="F7" s="160">
        <v>2.0</v>
      </c>
      <c r="G7" s="160" t="s">
        <v>455</v>
      </c>
      <c r="H7" s="160"/>
    </row>
    <row r="8">
      <c r="A8" s="161">
        <v>45983.718214259265</v>
      </c>
      <c r="B8" s="160" t="s">
        <v>172</v>
      </c>
      <c r="C8" s="160" t="s">
        <v>400</v>
      </c>
      <c r="D8" s="160" t="s">
        <v>460</v>
      </c>
      <c r="E8" s="160">
        <v>19.0</v>
      </c>
      <c r="F8" s="160">
        <v>3.0</v>
      </c>
      <c r="G8" s="160" t="s">
        <v>455</v>
      </c>
      <c r="H8" s="160"/>
    </row>
    <row r="9">
      <c r="A9" s="161">
        <v>45983.71821655093</v>
      </c>
      <c r="B9" s="160" t="s">
        <v>196</v>
      </c>
      <c r="C9" s="160" t="s">
        <v>401</v>
      </c>
      <c r="D9" s="160" t="s">
        <v>461</v>
      </c>
      <c r="E9" s="160">
        <v>0.0</v>
      </c>
      <c r="F9" s="160">
        <v>0.0</v>
      </c>
      <c r="G9" s="160" t="s">
        <v>453</v>
      </c>
      <c r="H9" s="160"/>
    </row>
    <row r="10">
      <c r="A10" s="161">
        <v>45983.718220219904</v>
      </c>
      <c r="B10" s="160" t="s">
        <v>195</v>
      </c>
      <c r="C10" s="160" t="s">
        <v>402</v>
      </c>
      <c r="D10" s="160" t="s">
        <v>462</v>
      </c>
      <c r="E10" s="160">
        <v>41.0</v>
      </c>
      <c r="F10" s="160">
        <v>9.0</v>
      </c>
      <c r="G10" s="160" t="s">
        <v>455</v>
      </c>
      <c r="H10" s="160"/>
    </row>
    <row r="11">
      <c r="A11" s="161">
        <v>45983.71822296296</v>
      </c>
      <c r="B11" s="160" t="s">
        <v>206</v>
      </c>
      <c r="C11" s="160" t="s">
        <v>403</v>
      </c>
      <c r="D11" s="160" t="s">
        <v>463</v>
      </c>
      <c r="E11" s="160">
        <v>6.0</v>
      </c>
      <c r="F11" s="160">
        <v>16.0</v>
      </c>
      <c r="G11" s="160" t="s">
        <v>455</v>
      </c>
      <c r="H11" s="160"/>
    </row>
    <row r="12">
      <c r="A12" s="161">
        <v>45983.71822550926</v>
      </c>
      <c r="B12" s="160" t="s">
        <v>207</v>
      </c>
      <c r="C12" s="160" t="s">
        <v>403</v>
      </c>
      <c r="D12" s="160" t="s">
        <v>463</v>
      </c>
      <c r="E12" s="160">
        <v>6.0</v>
      </c>
      <c r="F12" s="160">
        <v>16.0</v>
      </c>
      <c r="G12" s="160" t="s">
        <v>455</v>
      </c>
      <c r="H12" s="160"/>
    </row>
    <row r="13">
      <c r="A13" s="161">
        <v>45983.718228136575</v>
      </c>
      <c r="B13" s="160" t="s">
        <v>222</v>
      </c>
      <c r="C13" s="160" t="s">
        <v>404</v>
      </c>
      <c r="D13" s="160" t="s">
        <v>464</v>
      </c>
      <c r="E13" s="160">
        <v>25.0</v>
      </c>
      <c r="F13" s="160">
        <v>0.0</v>
      </c>
      <c r="G13" s="160" t="s">
        <v>453</v>
      </c>
      <c r="H13" s="160"/>
    </row>
    <row r="14">
      <c r="A14" s="161">
        <v>45983.718230983795</v>
      </c>
      <c r="B14" s="160" t="s">
        <v>209</v>
      </c>
      <c r="C14" s="160" t="s">
        <v>405</v>
      </c>
      <c r="D14" s="160" t="s">
        <v>465</v>
      </c>
      <c r="E14" s="160">
        <v>16.0</v>
      </c>
      <c r="F14" s="160">
        <v>11.0</v>
      </c>
      <c r="G14" s="160" t="s">
        <v>455</v>
      </c>
      <c r="H14" s="160"/>
    </row>
    <row r="15">
      <c r="A15" s="161">
        <v>45983.718243958334</v>
      </c>
      <c r="B15" s="160" t="s">
        <v>204</v>
      </c>
      <c r="C15" s="160" t="s">
        <v>406</v>
      </c>
      <c r="D15" s="160" t="s">
        <v>466</v>
      </c>
      <c r="E15" s="160">
        <v>6.0</v>
      </c>
      <c r="F15" s="160">
        <v>0.0</v>
      </c>
      <c r="G15" s="160" t="s">
        <v>453</v>
      </c>
      <c r="H15" s="160"/>
    </row>
    <row r="16">
      <c r="A16" s="161">
        <v>45983.718255949076</v>
      </c>
      <c r="B16" s="160" t="s">
        <v>208</v>
      </c>
      <c r="C16" s="160" t="s">
        <v>407</v>
      </c>
      <c r="D16" s="160" t="s">
        <v>407</v>
      </c>
      <c r="E16" s="160">
        <v>30.0</v>
      </c>
      <c r="F16" s="160">
        <v>19.0</v>
      </c>
      <c r="G16" s="160" t="s">
        <v>455</v>
      </c>
      <c r="H16" s="160"/>
    </row>
    <row r="17">
      <c r="A17" s="161">
        <v>45983.71825844907</v>
      </c>
      <c r="B17" s="160" t="s">
        <v>197</v>
      </c>
      <c r="C17" s="160" t="s">
        <v>408</v>
      </c>
      <c r="D17" s="160" t="s">
        <v>408</v>
      </c>
      <c r="E17" s="160">
        <v>19.0</v>
      </c>
      <c r="F17" s="160">
        <v>0.0</v>
      </c>
      <c r="G17" s="160" t="s">
        <v>453</v>
      </c>
      <c r="H17" s="160"/>
    </row>
    <row r="18">
      <c r="A18" s="161">
        <v>45983.71826173611</v>
      </c>
      <c r="B18" s="160" t="s">
        <v>205</v>
      </c>
      <c r="C18" s="160" t="s">
        <v>409</v>
      </c>
      <c r="D18" s="160" t="s">
        <v>467</v>
      </c>
      <c r="E18" s="160">
        <v>53.0</v>
      </c>
      <c r="F18" s="160">
        <v>9.0</v>
      </c>
      <c r="G18" s="160" t="s">
        <v>455</v>
      </c>
      <c r="H18" s="160"/>
    </row>
    <row r="19">
      <c r="A19" s="161">
        <v>45983.718263946765</v>
      </c>
      <c r="B19" s="160" t="s">
        <v>190</v>
      </c>
      <c r="C19" s="162">
        <v>45976.0</v>
      </c>
      <c r="D19" s="162">
        <v>45976.0</v>
      </c>
      <c r="E19" s="160">
        <v>1.0</v>
      </c>
      <c r="F19" s="160">
        <v>0.0</v>
      </c>
      <c r="G19" s="160" t="s">
        <v>453</v>
      </c>
      <c r="H19" s="160"/>
    </row>
    <row r="20">
      <c r="A20" s="161">
        <v>45983.718267233795</v>
      </c>
      <c r="B20" s="160" t="s">
        <v>194</v>
      </c>
      <c r="C20" s="160" t="s">
        <v>411</v>
      </c>
      <c r="D20" s="160" t="s">
        <v>468</v>
      </c>
      <c r="E20" s="160">
        <v>26.0</v>
      </c>
      <c r="F20" s="160">
        <v>20.0</v>
      </c>
      <c r="G20" s="160" t="s">
        <v>455</v>
      </c>
      <c r="H20" s="160"/>
    </row>
    <row r="21">
      <c r="A21" s="161">
        <v>45983.71827038194</v>
      </c>
      <c r="B21" s="160" t="s">
        <v>225</v>
      </c>
      <c r="C21" s="160" t="s">
        <v>412</v>
      </c>
      <c r="D21" s="160" t="s">
        <v>469</v>
      </c>
      <c r="E21" s="160">
        <v>59.0</v>
      </c>
      <c r="F21" s="160">
        <v>0.0</v>
      </c>
      <c r="G21" s="160" t="s">
        <v>453</v>
      </c>
      <c r="H21" s="160" t="s">
        <v>470</v>
      </c>
    </row>
    <row r="22">
      <c r="A22" s="161">
        <v>45983.718273715276</v>
      </c>
      <c r="B22" s="160" t="s">
        <v>224</v>
      </c>
      <c r="C22" s="160" t="s">
        <v>413</v>
      </c>
      <c r="D22" s="160" t="s">
        <v>413</v>
      </c>
      <c r="E22" s="160">
        <v>0.0</v>
      </c>
      <c r="F22" s="160">
        <v>0.0</v>
      </c>
      <c r="G22" s="160" t="s">
        <v>453</v>
      </c>
      <c r="H22" s="160"/>
    </row>
    <row r="23">
      <c r="A23" s="161">
        <v>45983.71827660879</v>
      </c>
      <c r="B23" s="160" t="s">
        <v>191</v>
      </c>
      <c r="C23" s="160" t="s">
        <v>414</v>
      </c>
      <c r="D23" s="160" t="s">
        <v>471</v>
      </c>
      <c r="E23" s="160">
        <v>22.0</v>
      </c>
      <c r="F23" s="160">
        <v>16.0</v>
      </c>
      <c r="G23" s="160" t="s">
        <v>455</v>
      </c>
      <c r="H23" s="160"/>
    </row>
    <row r="24">
      <c r="A24" s="161">
        <v>45983.71828090277</v>
      </c>
      <c r="B24" s="160" t="s">
        <v>193</v>
      </c>
      <c r="C24" s="160" t="s">
        <v>415</v>
      </c>
      <c r="D24" s="160" t="s">
        <v>472</v>
      </c>
      <c r="E24" s="160">
        <v>23.0</v>
      </c>
      <c r="F24" s="160">
        <v>9.0</v>
      </c>
      <c r="G24" s="160" t="s">
        <v>455</v>
      </c>
      <c r="H24" s="160" t="s">
        <v>473</v>
      </c>
    </row>
    <row r="25">
      <c r="A25" s="161">
        <v>45983.71828490741</v>
      </c>
      <c r="B25" s="160" t="s">
        <v>192</v>
      </c>
      <c r="C25" s="160" t="s">
        <v>416</v>
      </c>
      <c r="D25" s="160" t="s">
        <v>416</v>
      </c>
      <c r="E25" s="160">
        <v>55.0</v>
      </c>
      <c r="F25" s="160">
        <v>24.0</v>
      </c>
      <c r="G25" s="160" t="s">
        <v>455</v>
      </c>
      <c r="H25" s="160"/>
    </row>
    <row r="26">
      <c r="A26" s="161">
        <v>45983.71829017361</v>
      </c>
      <c r="B26" s="160" t="s">
        <v>194</v>
      </c>
      <c r="C26" s="160" t="s">
        <v>417</v>
      </c>
      <c r="D26" s="160" t="s">
        <v>474</v>
      </c>
      <c r="E26" s="160">
        <v>3.0</v>
      </c>
      <c r="F26" s="160">
        <v>19.0</v>
      </c>
      <c r="G26" s="160" t="s">
        <v>455</v>
      </c>
      <c r="H26" s="160"/>
    </row>
    <row r="27">
      <c r="A27" s="161">
        <v>45983.71829554398</v>
      </c>
      <c r="B27" s="160" t="s">
        <v>231</v>
      </c>
      <c r="C27" s="160" t="s">
        <v>418</v>
      </c>
      <c r="D27" s="160" t="s">
        <v>418</v>
      </c>
      <c r="E27" s="160">
        <v>5.0</v>
      </c>
      <c r="F27" s="160">
        <v>18.0</v>
      </c>
      <c r="G27" s="160" t="s">
        <v>455</v>
      </c>
      <c r="H27" s="160"/>
    </row>
    <row r="28">
      <c r="A28" s="161">
        <v>45983.71829866898</v>
      </c>
      <c r="B28" s="160" t="s">
        <v>171</v>
      </c>
      <c r="C28" s="160" t="s">
        <v>419</v>
      </c>
      <c r="D28" s="160" t="s">
        <v>475</v>
      </c>
      <c r="E28" s="160">
        <v>27.0</v>
      </c>
      <c r="F28" s="160">
        <v>3.0</v>
      </c>
      <c r="G28" s="160" t="s">
        <v>455</v>
      </c>
      <c r="H28" s="160"/>
    </row>
    <row r="29">
      <c r="A29" s="161">
        <v>45983.7183008912</v>
      </c>
      <c r="B29" s="160" t="s">
        <v>190</v>
      </c>
      <c r="C29" s="160" t="s">
        <v>420</v>
      </c>
      <c r="D29" s="160" t="s">
        <v>476</v>
      </c>
      <c r="E29" s="160">
        <v>3.0</v>
      </c>
      <c r="F29" s="160">
        <v>0.0</v>
      </c>
      <c r="G29" s="160" t="s">
        <v>453</v>
      </c>
      <c r="H29" s="160"/>
    </row>
    <row r="30">
      <c r="A30" s="161">
        <v>45983.71832085648</v>
      </c>
      <c r="B30" s="160" t="s">
        <v>218</v>
      </c>
      <c r="C30" s="160" t="s">
        <v>421</v>
      </c>
      <c r="D30" s="160" t="s">
        <v>477</v>
      </c>
      <c r="E30" s="160">
        <v>17.0</v>
      </c>
      <c r="F30" s="160">
        <v>14.0</v>
      </c>
      <c r="G30" s="160" t="s">
        <v>455</v>
      </c>
      <c r="H30" s="160"/>
    </row>
    <row r="31">
      <c r="A31" s="161">
        <v>45983.71832385416</v>
      </c>
      <c r="B31" s="160" t="s">
        <v>230</v>
      </c>
      <c r="C31" s="160" t="s">
        <v>422</v>
      </c>
      <c r="D31" s="160" t="s">
        <v>478</v>
      </c>
      <c r="E31" s="160">
        <v>2.0</v>
      </c>
      <c r="F31" s="160">
        <v>13.0</v>
      </c>
      <c r="G31" s="160" t="s">
        <v>455</v>
      </c>
      <c r="H31" s="160"/>
    </row>
    <row r="32">
      <c r="A32" s="161">
        <v>45983.71832609954</v>
      </c>
      <c r="B32" s="160" t="s">
        <v>218</v>
      </c>
      <c r="C32" s="160" t="s">
        <v>423</v>
      </c>
      <c r="D32" s="160" t="s">
        <v>479</v>
      </c>
      <c r="E32" s="160">
        <v>2.0</v>
      </c>
      <c r="F32" s="160">
        <v>0.0</v>
      </c>
      <c r="G32" s="160" t="s">
        <v>453</v>
      </c>
      <c r="H32" s="160"/>
    </row>
    <row r="33">
      <c r="A33" s="161">
        <v>45983.71832918981</v>
      </c>
      <c r="B33" s="160" t="s">
        <v>219</v>
      </c>
      <c r="C33" s="160" t="s">
        <v>424</v>
      </c>
      <c r="D33" s="160" t="s">
        <v>480</v>
      </c>
      <c r="E33" s="160">
        <v>33.0</v>
      </c>
      <c r="F33" s="160">
        <v>3.0</v>
      </c>
      <c r="G33" s="160" t="s">
        <v>455</v>
      </c>
      <c r="H33" s="160"/>
    </row>
    <row r="34">
      <c r="A34" s="161">
        <v>45983.71833256945</v>
      </c>
      <c r="B34" s="160" t="s">
        <v>167</v>
      </c>
      <c r="C34" s="160" t="s">
        <v>425</v>
      </c>
      <c r="D34" s="160" t="s">
        <v>481</v>
      </c>
      <c r="E34" s="160">
        <v>39.0</v>
      </c>
      <c r="F34" s="160">
        <v>9.0</v>
      </c>
      <c r="G34" s="160" t="s">
        <v>455</v>
      </c>
      <c r="H34" s="160"/>
    </row>
    <row r="35">
      <c r="A35" s="161">
        <v>45983.718336273145</v>
      </c>
      <c r="B35" s="160" t="s">
        <v>170</v>
      </c>
      <c r="C35" s="160" t="s">
        <v>425</v>
      </c>
      <c r="D35" s="160" t="s">
        <v>481</v>
      </c>
      <c r="E35" s="160">
        <v>39.0</v>
      </c>
      <c r="F35" s="160">
        <v>9.0</v>
      </c>
      <c r="G35" s="160" t="s">
        <v>455</v>
      </c>
      <c r="H35" s="160"/>
    </row>
    <row r="36">
      <c r="A36" s="161">
        <v>45983.71833921297</v>
      </c>
      <c r="B36" s="160" t="s">
        <v>168</v>
      </c>
      <c r="C36" s="160" t="s">
        <v>426</v>
      </c>
      <c r="D36" s="160" t="s">
        <v>481</v>
      </c>
      <c r="E36" s="160">
        <v>39.0</v>
      </c>
      <c r="F36" s="160">
        <v>9.0</v>
      </c>
      <c r="G36" s="160" t="s">
        <v>455</v>
      </c>
      <c r="H36" s="160"/>
    </row>
    <row r="37">
      <c r="A37" s="161">
        <v>45983.718343263885</v>
      </c>
      <c r="B37" s="160" t="s">
        <v>169</v>
      </c>
      <c r="C37" s="160" t="s">
        <v>426</v>
      </c>
      <c r="D37" s="160" t="s">
        <v>481</v>
      </c>
      <c r="E37" s="160">
        <v>39.0</v>
      </c>
      <c r="F37" s="160">
        <v>9.0</v>
      </c>
      <c r="G37" s="160" t="s">
        <v>455</v>
      </c>
      <c r="H37" s="160"/>
    </row>
    <row r="38">
      <c r="A38" s="161">
        <v>45983.71834628472</v>
      </c>
      <c r="B38" s="160" t="s">
        <v>214</v>
      </c>
      <c r="C38" s="160" t="s">
        <v>427</v>
      </c>
      <c r="D38" s="160" t="s">
        <v>482</v>
      </c>
      <c r="E38" s="160">
        <v>38.0</v>
      </c>
      <c r="F38" s="160">
        <v>3.0</v>
      </c>
      <c r="G38" s="160" t="s">
        <v>455</v>
      </c>
      <c r="H38" s="160"/>
    </row>
    <row r="39">
      <c r="A39" s="161">
        <v>45983.7183490162</v>
      </c>
      <c r="B39" s="160" t="s">
        <v>203</v>
      </c>
      <c r="C39" s="160" t="s">
        <v>428</v>
      </c>
      <c r="D39" s="160" t="s">
        <v>483</v>
      </c>
      <c r="E39" s="160">
        <v>12.0</v>
      </c>
      <c r="F39" s="160">
        <v>6.0</v>
      </c>
      <c r="G39" s="160" t="s">
        <v>455</v>
      </c>
      <c r="H39" s="160"/>
    </row>
    <row r="40">
      <c r="A40" s="161">
        <v>45983.71835130787</v>
      </c>
      <c r="B40" s="160" t="s">
        <v>212</v>
      </c>
      <c r="C40" s="160" t="s">
        <v>429</v>
      </c>
      <c r="D40" s="160" t="s">
        <v>484</v>
      </c>
      <c r="E40" s="160">
        <v>10.0</v>
      </c>
      <c r="F40" s="160">
        <v>0.0</v>
      </c>
      <c r="G40" s="160" t="s">
        <v>453</v>
      </c>
      <c r="H40" s="160"/>
    </row>
    <row r="41">
      <c r="A41" s="161">
        <v>45983.7183539699</v>
      </c>
      <c r="B41" s="160" t="s">
        <v>220</v>
      </c>
      <c r="C41" s="160" t="s">
        <v>430</v>
      </c>
      <c r="D41" s="160" t="s">
        <v>485</v>
      </c>
      <c r="E41" s="160">
        <v>6.0</v>
      </c>
      <c r="F41" s="160">
        <v>0.0</v>
      </c>
      <c r="G41" s="160" t="s">
        <v>453</v>
      </c>
      <c r="H41" s="160"/>
    </row>
    <row r="42">
      <c r="A42" s="161">
        <v>45983.718356736106</v>
      </c>
      <c r="B42" s="160" t="s">
        <v>221</v>
      </c>
      <c r="C42" s="160" t="s">
        <v>431</v>
      </c>
      <c r="D42" s="160" t="s">
        <v>486</v>
      </c>
      <c r="E42" s="160">
        <v>19.0</v>
      </c>
      <c r="F42" s="160">
        <v>7.0</v>
      </c>
      <c r="G42" s="160" t="s">
        <v>455</v>
      </c>
      <c r="H42" s="160"/>
    </row>
    <row r="43">
      <c r="A43" s="161">
        <v>45983.7183590625</v>
      </c>
      <c r="B43" s="160" t="s">
        <v>211</v>
      </c>
      <c r="C43" s="160" t="s">
        <v>432</v>
      </c>
      <c r="D43" s="160" t="s">
        <v>487</v>
      </c>
      <c r="E43" s="160">
        <v>4.0</v>
      </c>
      <c r="F43" s="160">
        <v>0.0</v>
      </c>
      <c r="G43" s="160" t="s">
        <v>453</v>
      </c>
      <c r="H43" s="160"/>
    </row>
    <row r="44">
      <c r="A44" s="161">
        <v>45983.71836162037</v>
      </c>
      <c r="B44" s="160" t="s">
        <v>186</v>
      </c>
      <c r="C44" s="160" t="s">
        <v>433</v>
      </c>
      <c r="D44" s="160" t="s">
        <v>488</v>
      </c>
      <c r="E44" s="160">
        <v>17.0</v>
      </c>
      <c r="F44" s="160">
        <v>0.0</v>
      </c>
      <c r="G44" s="160" t="s">
        <v>453</v>
      </c>
      <c r="H44" s="160"/>
    </row>
    <row r="45">
      <c r="A45" s="161">
        <v>45983.71837074074</v>
      </c>
      <c r="B45" s="160" t="s">
        <v>177</v>
      </c>
      <c r="C45" s="160" t="s">
        <v>434</v>
      </c>
      <c r="D45" s="160" t="s">
        <v>489</v>
      </c>
      <c r="E45" s="160">
        <v>5.0</v>
      </c>
      <c r="F45" s="160">
        <v>0.0</v>
      </c>
      <c r="G45" s="160" t="s">
        <v>453</v>
      </c>
      <c r="H45" s="160"/>
    </row>
    <row r="46">
      <c r="A46" s="161">
        <v>45983.7183730324</v>
      </c>
      <c r="B46" s="160" t="s">
        <v>182</v>
      </c>
      <c r="C46" s="160" t="s">
        <v>490</v>
      </c>
      <c r="D46" s="160" t="s">
        <v>491</v>
      </c>
      <c r="E46" s="160">
        <v>5.0</v>
      </c>
      <c r="F46" s="160">
        <v>0.0</v>
      </c>
      <c r="G46" s="160" t="s">
        <v>453</v>
      </c>
      <c r="H46" s="160" t="s">
        <v>492</v>
      </c>
    </row>
    <row r="47">
      <c r="A47" s="161">
        <v>45983.71837534722</v>
      </c>
      <c r="B47" s="160" t="s">
        <v>200</v>
      </c>
      <c r="C47" s="160" t="s">
        <v>436</v>
      </c>
      <c r="D47" s="160" t="s">
        <v>436</v>
      </c>
      <c r="E47" s="160">
        <v>5.0</v>
      </c>
      <c r="F47" s="160">
        <v>0.0</v>
      </c>
      <c r="G47" s="160" t="s">
        <v>453</v>
      </c>
      <c r="H47" s="160"/>
    </row>
    <row r="48">
      <c r="A48" s="161">
        <v>45983.71837775463</v>
      </c>
      <c r="B48" s="160" t="s">
        <v>202</v>
      </c>
      <c r="C48" s="160" t="s">
        <v>437</v>
      </c>
      <c r="D48" s="160" t="s">
        <v>493</v>
      </c>
      <c r="E48" s="160">
        <v>10.0</v>
      </c>
      <c r="F48" s="160">
        <v>0.0</v>
      </c>
      <c r="G48" s="160" t="s">
        <v>453</v>
      </c>
      <c r="H48" s="160"/>
    </row>
    <row r="49">
      <c r="A49" s="161">
        <v>45983.71838506944</v>
      </c>
      <c r="B49" s="160" t="s">
        <v>193</v>
      </c>
      <c r="C49" s="160" t="s">
        <v>438</v>
      </c>
      <c r="D49" s="160" t="s">
        <v>494</v>
      </c>
      <c r="E49" s="160">
        <v>8.0</v>
      </c>
      <c r="F49" s="160">
        <v>15.0</v>
      </c>
      <c r="G49" s="160" t="s">
        <v>455</v>
      </c>
      <c r="H49" s="160"/>
    </row>
    <row r="50">
      <c r="A50" s="161">
        <v>45983.71838878472</v>
      </c>
      <c r="B50" s="160" t="s">
        <v>175</v>
      </c>
      <c r="C50" s="160" t="s">
        <v>439</v>
      </c>
      <c r="D50" s="160" t="s">
        <v>495</v>
      </c>
      <c r="E50" s="160">
        <v>22.0</v>
      </c>
      <c r="F50" s="160">
        <v>13.0</v>
      </c>
      <c r="G50" s="160" t="s">
        <v>455</v>
      </c>
      <c r="H50" s="160"/>
    </row>
    <row r="51">
      <c r="A51" s="161">
        <v>45983.71839149305</v>
      </c>
      <c r="B51" s="160" t="s">
        <v>228</v>
      </c>
      <c r="C51" s="160" t="s">
        <v>440</v>
      </c>
      <c r="D51" s="160" t="s">
        <v>496</v>
      </c>
      <c r="E51" s="160">
        <v>5.0</v>
      </c>
      <c r="F51" s="160">
        <v>10.0</v>
      </c>
      <c r="G51" s="160" t="s">
        <v>455</v>
      </c>
      <c r="H51" s="160"/>
    </row>
    <row r="52">
      <c r="A52" s="161">
        <v>45983.718394641204</v>
      </c>
      <c r="B52" s="160" t="s">
        <v>189</v>
      </c>
      <c r="C52" s="160" t="s">
        <v>441</v>
      </c>
      <c r="D52" s="160" t="s">
        <v>497</v>
      </c>
      <c r="E52" s="160">
        <v>17.0</v>
      </c>
      <c r="F52" s="160">
        <v>1.0</v>
      </c>
      <c r="G52" s="160" t="s">
        <v>455</v>
      </c>
      <c r="H52" s="160" t="s">
        <v>498</v>
      </c>
    </row>
    <row r="53">
      <c r="A53" s="161">
        <v>45983.71839841435</v>
      </c>
      <c r="B53" s="160" t="s">
        <v>184</v>
      </c>
      <c r="C53" s="160" t="s">
        <v>442</v>
      </c>
      <c r="D53" s="160" t="s">
        <v>499</v>
      </c>
      <c r="E53" s="160">
        <v>7.0</v>
      </c>
      <c r="F53" s="160">
        <v>5.0</v>
      </c>
      <c r="G53" s="160" t="s">
        <v>455</v>
      </c>
      <c r="H53" s="160"/>
    </row>
    <row r="54">
      <c r="A54" s="161">
        <v>45983.718402858794</v>
      </c>
      <c r="B54" s="160" t="s">
        <v>223</v>
      </c>
      <c r="C54" s="160" t="s">
        <v>443</v>
      </c>
      <c r="D54" s="160" t="s">
        <v>500</v>
      </c>
      <c r="E54" s="160">
        <v>63.0</v>
      </c>
      <c r="F54" s="160">
        <v>7.0</v>
      </c>
      <c r="G54" s="160" t="s">
        <v>455</v>
      </c>
      <c r="H54" s="160"/>
    </row>
    <row r="55">
      <c r="A55" s="161">
        <v>45983.71840601852</v>
      </c>
      <c r="B55" s="160" t="s">
        <v>179</v>
      </c>
      <c r="C55" s="160" t="s">
        <v>444</v>
      </c>
      <c r="D55" s="160" t="s">
        <v>501</v>
      </c>
      <c r="E55" s="160">
        <v>58.0</v>
      </c>
      <c r="F55" s="160">
        <v>10.0</v>
      </c>
      <c r="G55" s="160" t="s">
        <v>455</v>
      </c>
      <c r="H55" s="160"/>
    </row>
    <row r="56">
      <c r="A56" s="161">
        <v>45983.718408252316</v>
      </c>
      <c r="B56" s="160" t="s">
        <v>171</v>
      </c>
      <c r="C56" s="163">
        <v>46075.0</v>
      </c>
      <c r="D56" s="163">
        <v>46075.0</v>
      </c>
      <c r="E56" s="160">
        <v>1.0</v>
      </c>
      <c r="F56" s="160">
        <v>0.0</v>
      </c>
      <c r="G56" s="160" t="s">
        <v>453</v>
      </c>
      <c r="H56" s="160"/>
    </row>
    <row r="57">
      <c r="A57" s="161">
        <v>45983.71841056713</v>
      </c>
      <c r="B57" s="160" t="s">
        <v>222</v>
      </c>
      <c r="C57" s="163">
        <v>45995.0</v>
      </c>
      <c r="D57" s="163">
        <v>45995.0</v>
      </c>
      <c r="E57" s="160">
        <v>1.0</v>
      </c>
      <c r="F57" s="160">
        <v>0.0</v>
      </c>
      <c r="G57" s="160" t="s">
        <v>453</v>
      </c>
      <c r="H57" s="160"/>
    </row>
    <row r="58">
      <c r="A58" s="161">
        <v>45983.71841340278</v>
      </c>
      <c r="B58" s="160" t="s">
        <v>216</v>
      </c>
      <c r="C58" s="160" t="s">
        <v>447</v>
      </c>
      <c r="D58" s="160" t="s">
        <v>447</v>
      </c>
      <c r="E58" s="160">
        <v>3.0</v>
      </c>
      <c r="F58" s="160">
        <v>0.0</v>
      </c>
      <c r="G58" s="160" t="s">
        <v>453</v>
      </c>
      <c r="H58" s="160"/>
    </row>
    <row r="59">
      <c r="A59" s="161">
        <v>45983.71841560185</v>
      </c>
      <c r="B59" s="160" t="s">
        <v>222</v>
      </c>
      <c r="C59" s="160" t="s">
        <v>448</v>
      </c>
      <c r="D59" s="160" t="s">
        <v>502</v>
      </c>
      <c r="E59" s="160">
        <v>2.0</v>
      </c>
      <c r="F59" s="160">
        <v>0.0</v>
      </c>
      <c r="G59" s="160" t="s">
        <v>453</v>
      </c>
      <c r="H59" s="160"/>
    </row>
    <row r="60">
      <c r="A60" s="161">
        <v>45983.71972465278</v>
      </c>
      <c r="B60" s="160" t="s">
        <v>182</v>
      </c>
      <c r="C60" s="160" t="s">
        <v>435</v>
      </c>
      <c r="D60" s="160" t="s">
        <v>503</v>
      </c>
      <c r="E60" s="160">
        <v>10.0</v>
      </c>
      <c r="F60" s="160">
        <v>0.0</v>
      </c>
      <c r="G60" s="160" t="s">
        <v>453</v>
      </c>
      <c r="H60" s="160"/>
    </row>
    <row r="61">
      <c r="A61" s="161">
        <v>45983.72007072916</v>
      </c>
      <c r="B61" s="160" t="s">
        <v>167</v>
      </c>
      <c r="C61" s="160" t="s">
        <v>504</v>
      </c>
      <c r="D61" s="160" t="s">
        <v>505</v>
      </c>
      <c r="E61" s="160">
        <v>0.0</v>
      </c>
      <c r="F61" s="160">
        <v>0.0</v>
      </c>
      <c r="G61" s="160" t="s">
        <v>506</v>
      </c>
      <c r="H61" s="160" t="s">
        <v>507</v>
      </c>
    </row>
    <row r="62">
      <c r="A62" s="161">
        <v>45983.72007520833</v>
      </c>
      <c r="B62" s="160" t="s">
        <v>168</v>
      </c>
      <c r="C62" s="160" t="s">
        <v>504</v>
      </c>
      <c r="D62" s="160" t="s">
        <v>505</v>
      </c>
      <c r="E62" s="160">
        <v>0.0</v>
      </c>
      <c r="F62" s="160">
        <v>0.0</v>
      </c>
      <c r="G62" s="160" t="s">
        <v>506</v>
      </c>
      <c r="H62" s="160" t="s">
        <v>508</v>
      </c>
    </row>
    <row r="63">
      <c r="A63" s="161">
        <v>45983.72007809028</v>
      </c>
      <c r="B63" s="160" t="s">
        <v>169</v>
      </c>
      <c r="C63" s="160" t="s">
        <v>504</v>
      </c>
      <c r="D63" s="160" t="s">
        <v>505</v>
      </c>
      <c r="E63" s="160">
        <v>0.0</v>
      </c>
      <c r="F63" s="160">
        <v>0.0</v>
      </c>
      <c r="G63" s="160" t="s">
        <v>506</v>
      </c>
      <c r="H63" s="160" t="s">
        <v>509</v>
      </c>
    </row>
    <row r="64">
      <c r="A64" s="161">
        <v>45983.72008100695</v>
      </c>
      <c r="B64" s="160" t="s">
        <v>170</v>
      </c>
      <c r="C64" s="160" t="s">
        <v>504</v>
      </c>
      <c r="D64" s="160" t="s">
        <v>505</v>
      </c>
      <c r="E64" s="160">
        <v>0.0</v>
      </c>
      <c r="F64" s="160">
        <v>0.0</v>
      </c>
      <c r="G64" s="160" t="s">
        <v>506</v>
      </c>
      <c r="H64" s="160" t="s">
        <v>510</v>
      </c>
    </row>
    <row r="65">
      <c r="A65" s="161">
        <v>45983.72009990741</v>
      </c>
      <c r="B65" s="160" t="s">
        <v>204</v>
      </c>
      <c r="C65" s="160" t="s">
        <v>504</v>
      </c>
      <c r="D65" s="160" t="s">
        <v>511</v>
      </c>
      <c r="E65" s="160">
        <v>0.0</v>
      </c>
      <c r="F65" s="160">
        <v>0.0</v>
      </c>
      <c r="G65" s="160" t="s">
        <v>506</v>
      </c>
      <c r="H65" s="160" t="s">
        <v>512</v>
      </c>
    </row>
    <row r="66">
      <c r="A66" s="161">
        <v>45983.72010293981</v>
      </c>
      <c r="B66" s="160" t="s">
        <v>207</v>
      </c>
      <c r="C66" s="160" t="s">
        <v>504</v>
      </c>
      <c r="D66" s="160" t="s">
        <v>513</v>
      </c>
      <c r="E66" s="160">
        <v>0.0</v>
      </c>
      <c r="F66" s="160">
        <v>0.0</v>
      </c>
      <c r="G66" s="160" t="s">
        <v>506</v>
      </c>
      <c r="H66" s="160" t="s">
        <v>514</v>
      </c>
    </row>
    <row r="67">
      <c r="A67" s="161">
        <v>45983.720105914355</v>
      </c>
      <c r="B67" s="160" t="s">
        <v>208</v>
      </c>
      <c r="C67" s="160" t="s">
        <v>504</v>
      </c>
      <c r="D67" s="160" t="s">
        <v>513</v>
      </c>
      <c r="E67" s="160">
        <v>0.0</v>
      </c>
      <c r="F67" s="160">
        <v>0.0</v>
      </c>
      <c r="G67" s="160" t="s">
        <v>506</v>
      </c>
      <c r="H67" s="160" t="s">
        <v>515</v>
      </c>
    </row>
    <row r="68">
      <c r="A68" s="161">
        <v>45983.72010883102</v>
      </c>
      <c r="B68" s="160" t="s">
        <v>209</v>
      </c>
      <c r="C68" s="160" t="s">
        <v>504</v>
      </c>
      <c r="D68" s="160" t="s">
        <v>516</v>
      </c>
      <c r="E68" s="160">
        <v>0.0</v>
      </c>
      <c r="F68" s="160">
        <v>0.0</v>
      </c>
      <c r="G68" s="160" t="s">
        <v>506</v>
      </c>
      <c r="H68" s="160" t="s">
        <v>517</v>
      </c>
    </row>
    <row r="69">
      <c r="A69" s="161">
        <v>45983.72011194444</v>
      </c>
      <c r="B69" s="160" t="s">
        <v>223</v>
      </c>
      <c r="C69" s="160" t="s">
        <v>504</v>
      </c>
      <c r="D69" s="160" t="s">
        <v>518</v>
      </c>
      <c r="E69" s="160">
        <v>0.0</v>
      </c>
      <c r="F69" s="160">
        <v>0.0</v>
      </c>
      <c r="G69" s="160" t="s">
        <v>506</v>
      </c>
      <c r="H69" s="160" t="s">
        <v>519</v>
      </c>
    </row>
    <row r="70">
      <c r="A70" s="161">
        <v>45983.72011498843</v>
      </c>
      <c r="B70" s="160" t="s">
        <v>223</v>
      </c>
      <c r="C70" s="160" t="s">
        <v>504</v>
      </c>
      <c r="D70" s="160" t="s">
        <v>520</v>
      </c>
      <c r="E70" s="160">
        <v>0.0</v>
      </c>
      <c r="F70" s="160">
        <v>0.0</v>
      </c>
      <c r="G70" s="160" t="s">
        <v>506</v>
      </c>
      <c r="H70" s="160" t="s">
        <v>521</v>
      </c>
    </row>
    <row r="71">
      <c r="A71" s="161">
        <v>45983.720118391204</v>
      </c>
      <c r="B71" s="160" t="s">
        <v>225</v>
      </c>
      <c r="C71" s="160" t="s">
        <v>504</v>
      </c>
      <c r="D71" s="160" t="s">
        <v>522</v>
      </c>
      <c r="E71" s="160">
        <v>0.0</v>
      </c>
      <c r="F71" s="160">
        <v>0.0</v>
      </c>
      <c r="G71" s="160" t="s">
        <v>506</v>
      </c>
      <c r="H71" s="160" t="s">
        <v>523</v>
      </c>
    </row>
    <row r="72">
      <c r="A72" s="161">
        <v>45983.720126064814</v>
      </c>
      <c r="B72" s="160" t="s">
        <v>225</v>
      </c>
      <c r="C72" s="160" t="s">
        <v>504</v>
      </c>
      <c r="D72" s="160" t="s">
        <v>524</v>
      </c>
      <c r="E72" s="160">
        <v>0.0</v>
      </c>
      <c r="F72" s="160">
        <v>0.0</v>
      </c>
      <c r="G72" s="160" t="s">
        <v>506</v>
      </c>
      <c r="H72" s="160" t="s">
        <v>525</v>
      </c>
    </row>
    <row r="73">
      <c r="A73" s="161">
        <v>45983.72012922454</v>
      </c>
      <c r="B73" s="160" t="s">
        <v>175</v>
      </c>
      <c r="C73" s="160" t="s">
        <v>504</v>
      </c>
      <c r="D73" s="160" t="s">
        <v>526</v>
      </c>
      <c r="E73" s="160">
        <v>0.0</v>
      </c>
      <c r="F73" s="160">
        <v>0.0</v>
      </c>
      <c r="G73" s="160" t="s">
        <v>506</v>
      </c>
      <c r="H73" s="160" t="s">
        <v>527</v>
      </c>
    </row>
    <row r="74">
      <c r="A74" s="161">
        <v>45983.720132291666</v>
      </c>
      <c r="B74" s="160" t="s">
        <v>179</v>
      </c>
      <c r="C74" s="160" t="s">
        <v>504</v>
      </c>
      <c r="D74" s="160" t="s">
        <v>528</v>
      </c>
      <c r="E74" s="160">
        <v>0.0</v>
      </c>
      <c r="F74" s="160">
        <v>0.0</v>
      </c>
      <c r="G74" s="160" t="s">
        <v>506</v>
      </c>
      <c r="H74" s="160" t="s">
        <v>529</v>
      </c>
    </row>
    <row r="75">
      <c r="A75" s="161">
        <v>45983.720135138894</v>
      </c>
      <c r="B75" s="160" t="s">
        <v>179</v>
      </c>
      <c r="C75" s="160" t="s">
        <v>504</v>
      </c>
      <c r="D75" s="160" t="s">
        <v>530</v>
      </c>
      <c r="E75" s="160">
        <v>0.0</v>
      </c>
      <c r="F75" s="160">
        <v>0.0</v>
      </c>
      <c r="G75" s="160" t="s">
        <v>506</v>
      </c>
      <c r="H75" s="160" t="s">
        <v>531</v>
      </c>
    </row>
    <row r="76">
      <c r="A76" s="161">
        <v>45983.720138564815</v>
      </c>
      <c r="B76" s="160" t="s">
        <v>192</v>
      </c>
      <c r="C76" s="160" t="s">
        <v>504</v>
      </c>
      <c r="D76" s="160" t="s">
        <v>532</v>
      </c>
      <c r="E76" s="160">
        <v>0.0</v>
      </c>
      <c r="F76" s="160">
        <v>0.0</v>
      </c>
      <c r="G76" s="160" t="s">
        <v>506</v>
      </c>
      <c r="H76" s="160" t="s">
        <v>533</v>
      </c>
    </row>
    <row r="77">
      <c r="A77" s="161">
        <v>45983.720141516205</v>
      </c>
      <c r="B77" s="160" t="s">
        <v>194</v>
      </c>
      <c r="C77" s="160" t="s">
        <v>504</v>
      </c>
      <c r="D77" s="160" t="s">
        <v>532</v>
      </c>
      <c r="E77" s="160">
        <v>0.0</v>
      </c>
      <c r="F77" s="160">
        <v>0.0</v>
      </c>
      <c r="G77" s="160" t="s">
        <v>506</v>
      </c>
      <c r="H77" s="160" t="s">
        <v>534</v>
      </c>
    </row>
    <row r="78">
      <c r="A78" s="161">
        <v>45983.7201449537</v>
      </c>
      <c r="B78" s="160" t="s">
        <v>192</v>
      </c>
      <c r="C78" s="160" t="s">
        <v>504</v>
      </c>
      <c r="D78" s="160" t="s">
        <v>535</v>
      </c>
      <c r="E78" s="160">
        <v>0.0</v>
      </c>
      <c r="F78" s="160">
        <v>0.0</v>
      </c>
      <c r="G78" s="160" t="s">
        <v>506</v>
      </c>
      <c r="H78" s="160" t="s">
        <v>536</v>
      </c>
    </row>
    <row r="79">
      <c r="A79" s="161">
        <v>45983.72014790509</v>
      </c>
      <c r="B79" s="160" t="s">
        <v>192</v>
      </c>
      <c r="C79" s="160" t="s">
        <v>504</v>
      </c>
      <c r="D79" s="160" t="s">
        <v>537</v>
      </c>
      <c r="E79" s="160">
        <v>0.0</v>
      </c>
      <c r="F79" s="160">
        <v>0.0</v>
      </c>
      <c r="G79" s="160" t="s">
        <v>506</v>
      </c>
      <c r="H79" s="160" t="s">
        <v>538</v>
      </c>
    </row>
    <row r="80">
      <c r="A80" s="161">
        <v>45983.72015108797</v>
      </c>
      <c r="B80" s="160" t="s">
        <v>193</v>
      </c>
      <c r="C80" s="160" t="s">
        <v>504</v>
      </c>
      <c r="D80" s="160" t="s">
        <v>539</v>
      </c>
      <c r="E80" s="160">
        <v>0.0</v>
      </c>
      <c r="F80" s="160">
        <v>0.0</v>
      </c>
      <c r="G80" s="160" t="s">
        <v>506</v>
      </c>
      <c r="H80" s="160" t="s">
        <v>540</v>
      </c>
    </row>
    <row r="81">
      <c r="A81" s="161">
        <v>45983.720154317125</v>
      </c>
      <c r="B81" s="160" t="s">
        <v>244</v>
      </c>
      <c r="C81" s="160" t="s">
        <v>504</v>
      </c>
      <c r="D81" s="160" t="s">
        <v>541</v>
      </c>
      <c r="E81" s="160">
        <v>0.0</v>
      </c>
      <c r="F81" s="160">
        <v>0.0</v>
      </c>
      <c r="G81" s="160" t="s">
        <v>506</v>
      </c>
      <c r="H81" s="160" t="s">
        <v>542</v>
      </c>
    </row>
    <row r="82">
      <c r="A82" s="161">
        <v>45983.72015789352</v>
      </c>
      <c r="B82" s="160" t="s">
        <v>214</v>
      </c>
      <c r="C82" s="160" t="s">
        <v>504</v>
      </c>
      <c r="D82" s="160" t="s">
        <v>518</v>
      </c>
      <c r="E82" s="160">
        <v>0.0</v>
      </c>
      <c r="F82" s="160">
        <v>0.0</v>
      </c>
      <c r="G82" s="160" t="s">
        <v>506</v>
      </c>
      <c r="H82" s="160" t="s">
        <v>543</v>
      </c>
    </row>
    <row r="83">
      <c r="A83" s="161">
        <v>45983.72016082176</v>
      </c>
      <c r="B83" s="160" t="s">
        <v>214</v>
      </c>
      <c r="C83" s="160" t="s">
        <v>504</v>
      </c>
      <c r="D83" s="160" t="s">
        <v>544</v>
      </c>
      <c r="E83" s="160">
        <v>0.0</v>
      </c>
      <c r="F83" s="160">
        <v>0.0</v>
      </c>
      <c r="G83" s="160" t="s">
        <v>506</v>
      </c>
      <c r="H83" s="160" t="s">
        <v>545</v>
      </c>
    </row>
    <row r="84">
      <c r="A84" s="161">
        <v>45983.72016431713</v>
      </c>
      <c r="B84" s="160" t="s">
        <v>214</v>
      </c>
      <c r="C84" s="160" t="s">
        <v>504</v>
      </c>
      <c r="D84" s="160" t="s">
        <v>546</v>
      </c>
      <c r="E84" s="160">
        <v>0.0</v>
      </c>
      <c r="F84" s="160">
        <v>0.0</v>
      </c>
      <c r="G84" s="160" t="s">
        <v>506</v>
      </c>
      <c r="H84" s="160" t="s">
        <v>547</v>
      </c>
    </row>
    <row r="85">
      <c r="A85" s="161">
        <v>45983.72016703704</v>
      </c>
      <c r="B85" s="160" t="s">
        <v>226</v>
      </c>
      <c r="C85" s="160" t="s">
        <v>504</v>
      </c>
      <c r="D85" s="160" t="s">
        <v>548</v>
      </c>
      <c r="E85" s="160">
        <v>0.0</v>
      </c>
      <c r="F85" s="160">
        <v>0.0</v>
      </c>
      <c r="G85" s="160" t="s">
        <v>506</v>
      </c>
      <c r="H85" s="160" t="s">
        <v>549</v>
      </c>
    </row>
    <row r="86">
      <c r="A86" s="161">
        <v>45983.7201727662</v>
      </c>
      <c r="B86" s="160" t="s">
        <v>173</v>
      </c>
      <c r="C86" s="160" t="s">
        <v>504</v>
      </c>
      <c r="D86" s="160" t="s">
        <v>550</v>
      </c>
      <c r="E86" s="160">
        <v>0.0</v>
      </c>
      <c r="F86" s="160">
        <v>0.0</v>
      </c>
      <c r="G86" s="160" t="s">
        <v>506</v>
      </c>
      <c r="H86" s="160" t="s">
        <v>551</v>
      </c>
    </row>
    <row r="87">
      <c r="A87" s="161">
        <v>45983.72017561343</v>
      </c>
      <c r="B87" s="160" t="s">
        <v>177</v>
      </c>
      <c r="C87" s="160" t="s">
        <v>504</v>
      </c>
      <c r="D87" s="160" t="s">
        <v>552</v>
      </c>
      <c r="E87" s="160">
        <v>0.0</v>
      </c>
      <c r="F87" s="160">
        <v>0.0</v>
      </c>
      <c r="G87" s="160" t="s">
        <v>506</v>
      </c>
      <c r="H87" s="160" t="s">
        <v>553</v>
      </c>
    </row>
    <row r="88">
      <c r="A88" s="161">
        <v>45983.720178564814</v>
      </c>
      <c r="B88" s="160" t="s">
        <v>222</v>
      </c>
      <c r="C88" s="160" t="s">
        <v>504</v>
      </c>
      <c r="D88" s="160" t="s">
        <v>554</v>
      </c>
      <c r="E88" s="160">
        <v>0.0</v>
      </c>
      <c r="F88" s="160">
        <v>0.0</v>
      </c>
      <c r="G88" s="160" t="s">
        <v>506</v>
      </c>
      <c r="H88" s="160" t="s">
        <v>555</v>
      </c>
    </row>
    <row r="89">
      <c r="A89" s="161">
        <v>45983.720181516204</v>
      </c>
      <c r="B89" s="160" t="s">
        <v>222</v>
      </c>
      <c r="C89" s="160" t="s">
        <v>504</v>
      </c>
      <c r="D89" s="160" t="s">
        <v>556</v>
      </c>
      <c r="E89" s="160">
        <v>0.0</v>
      </c>
      <c r="F89" s="160">
        <v>0.0</v>
      </c>
      <c r="G89" s="160" t="s">
        <v>506</v>
      </c>
      <c r="H89" s="160" t="s">
        <v>557</v>
      </c>
    </row>
    <row r="90">
      <c r="A90" s="161">
        <v>45983.72018443287</v>
      </c>
      <c r="B90" s="160" t="s">
        <v>208</v>
      </c>
      <c r="C90" s="160" t="s">
        <v>504</v>
      </c>
      <c r="D90" s="160" t="s">
        <v>558</v>
      </c>
      <c r="E90" s="160">
        <v>0.0</v>
      </c>
      <c r="F90" s="160">
        <v>0.0</v>
      </c>
      <c r="G90" s="160" t="s">
        <v>506</v>
      </c>
      <c r="H90" s="160" t="s">
        <v>559</v>
      </c>
    </row>
    <row r="91">
      <c r="A91" s="161">
        <v>45983.72018744213</v>
      </c>
      <c r="B91" s="160" t="s">
        <v>208</v>
      </c>
      <c r="C91" s="160" t="s">
        <v>504</v>
      </c>
      <c r="D91" s="160" t="s">
        <v>532</v>
      </c>
      <c r="E91" s="160">
        <v>0.0</v>
      </c>
      <c r="F91" s="160">
        <v>0.0</v>
      </c>
      <c r="G91" s="160" t="s">
        <v>506</v>
      </c>
      <c r="H91" s="160" t="s">
        <v>560</v>
      </c>
    </row>
    <row r="92">
      <c r="A92" s="161">
        <v>45983.72019024305</v>
      </c>
      <c r="B92" s="160" t="s">
        <v>212</v>
      </c>
      <c r="C92" s="160" t="s">
        <v>504</v>
      </c>
      <c r="D92" s="160" t="s">
        <v>561</v>
      </c>
      <c r="E92" s="160">
        <v>0.0</v>
      </c>
      <c r="F92" s="160">
        <v>0.0</v>
      </c>
      <c r="G92" s="160" t="s">
        <v>506</v>
      </c>
      <c r="H92" s="160" t="s">
        <v>562</v>
      </c>
    </row>
    <row r="93">
      <c r="A93" s="161">
        <v>45983.72019420139</v>
      </c>
      <c r="B93" s="160" t="s">
        <v>189</v>
      </c>
      <c r="C93" s="160" t="s">
        <v>504</v>
      </c>
      <c r="D93" s="160" t="s">
        <v>563</v>
      </c>
      <c r="E93" s="160">
        <v>0.0</v>
      </c>
      <c r="F93" s="160">
        <v>0.0</v>
      </c>
      <c r="G93" s="160" t="s">
        <v>506</v>
      </c>
      <c r="H93" s="160" t="s">
        <v>564</v>
      </c>
    </row>
    <row r="94">
      <c r="A94" s="161">
        <v>45983.72019792824</v>
      </c>
      <c r="B94" s="160" t="s">
        <v>223</v>
      </c>
      <c r="C94" s="160" t="s">
        <v>504</v>
      </c>
      <c r="D94" s="160" t="s">
        <v>565</v>
      </c>
      <c r="E94" s="160">
        <v>0.0</v>
      </c>
      <c r="F94" s="160">
        <v>0.0</v>
      </c>
      <c r="G94" s="160" t="s">
        <v>506</v>
      </c>
      <c r="H94" s="160" t="s">
        <v>566</v>
      </c>
    </row>
    <row r="95">
      <c r="A95" s="161">
        <v>45983.72020480324</v>
      </c>
      <c r="B95" s="160" t="s">
        <v>205</v>
      </c>
      <c r="C95" s="160" t="s">
        <v>504</v>
      </c>
      <c r="D95" s="160" t="s">
        <v>567</v>
      </c>
      <c r="E95" s="160">
        <v>0.0</v>
      </c>
      <c r="F95" s="160">
        <v>0.0</v>
      </c>
      <c r="G95" s="160" t="s">
        <v>506</v>
      </c>
      <c r="H95" s="160" t="s">
        <v>568</v>
      </c>
    </row>
    <row r="96">
      <c r="A96" s="161">
        <v>45983.72020826389</v>
      </c>
      <c r="B96" s="160" t="s">
        <v>171</v>
      </c>
      <c r="C96" s="160" t="s">
        <v>504</v>
      </c>
      <c r="D96" s="160" t="s">
        <v>550</v>
      </c>
      <c r="E96" s="160">
        <v>0.0</v>
      </c>
      <c r="F96" s="160">
        <v>0.0</v>
      </c>
      <c r="G96" s="160" t="s">
        <v>506</v>
      </c>
      <c r="H96" s="160" t="s">
        <v>569</v>
      </c>
    </row>
    <row r="97">
      <c r="A97" s="161">
        <v>45983.72021113426</v>
      </c>
      <c r="B97" s="160" t="s">
        <v>190</v>
      </c>
      <c r="C97" s="160" t="s">
        <v>570</v>
      </c>
      <c r="D97" s="160" t="s">
        <v>563</v>
      </c>
      <c r="E97" s="160">
        <v>0.0</v>
      </c>
      <c r="F97" s="160">
        <v>0.0</v>
      </c>
      <c r="G97" s="160" t="s">
        <v>506</v>
      </c>
      <c r="H97" s="160" t="s">
        <v>571</v>
      </c>
    </row>
    <row r="98">
      <c r="A98" s="161">
        <v>45983.720217187496</v>
      </c>
      <c r="B98" s="160" t="s">
        <v>193</v>
      </c>
      <c r="C98" s="160" t="s">
        <v>570</v>
      </c>
      <c r="D98" s="160" t="s">
        <v>535</v>
      </c>
      <c r="E98" s="160">
        <v>0.0</v>
      </c>
      <c r="F98" s="160">
        <v>0.0</v>
      </c>
      <c r="G98" s="160" t="s">
        <v>506</v>
      </c>
      <c r="H98" s="160" t="s">
        <v>572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8.63"/>
    <col customWidth="1" min="3" max="3" width="11.5"/>
    <col customWidth="1" min="4" max="4" width="23.13"/>
    <col customWidth="1" min="5" max="5" width="7.38"/>
    <col customWidth="1" min="6" max="6" width="7.5"/>
    <col customWidth="1" min="7" max="9" width="9.75"/>
    <col customWidth="1" min="10" max="11" width="5.38"/>
  </cols>
  <sheetData>
    <row r="1">
      <c r="A1" s="122" t="s">
        <v>154</v>
      </c>
      <c r="B1" s="122" t="s">
        <v>573</v>
      </c>
      <c r="C1" s="122" t="s">
        <v>574</v>
      </c>
      <c r="D1" s="122" t="s">
        <v>575</v>
      </c>
      <c r="E1" s="122" t="s">
        <v>576</v>
      </c>
      <c r="F1" s="122" t="s">
        <v>577</v>
      </c>
      <c r="G1" s="122" t="s">
        <v>578</v>
      </c>
      <c r="H1" s="122" t="s">
        <v>579</v>
      </c>
      <c r="I1" s="122" t="s">
        <v>580</v>
      </c>
      <c r="J1" s="122" t="s">
        <v>252</v>
      </c>
      <c r="K1" s="122"/>
    </row>
    <row r="2">
      <c r="A2" s="123">
        <v>45983.72043097222</v>
      </c>
      <c r="B2" s="122" t="s">
        <v>581</v>
      </c>
      <c r="C2" s="122" t="s">
        <v>582</v>
      </c>
      <c r="D2" s="122" t="s">
        <v>583</v>
      </c>
      <c r="E2" s="122">
        <v>574.0</v>
      </c>
      <c r="F2" s="122">
        <v>1849.0</v>
      </c>
      <c r="G2" s="122">
        <v>0.0</v>
      </c>
      <c r="H2" s="122">
        <v>0.0</v>
      </c>
      <c r="I2" s="122">
        <v>0.0</v>
      </c>
      <c r="J2" s="122"/>
      <c r="K2" s="122"/>
    </row>
  </sheetData>
  <drawing r:id="rId1"/>
</worksheet>
</file>